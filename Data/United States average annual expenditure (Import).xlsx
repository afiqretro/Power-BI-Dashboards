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iqr\Downloads\"/>
    </mc:Choice>
  </mc:AlternateContent>
  <xr:revisionPtr revIDLastSave="0" documentId="13_ncr:1_{9DCF7FE0-5701-4B97-884B-82AF5E99697E}" xr6:coauthVersionLast="47" xr6:coauthVersionMax="47" xr10:uidLastSave="{00000000-0000-0000-0000-000000000000}"/>
  <bookViews>
    <workbookView xWindow="-110" yWindow="-110" windowWidth="19420" windowHeight="10300" xr2:uid="{74D9C922-BB75-4E97-BDC4-C8D22F821AF1}"/>
  </bookViews>
  <sheets>
    <sheet name="Average monthly income" sheetId="1" r:id="rId1"/>
    <sheet name="Food at home and outside" sheetId="4" r:id="rId2"/>
    <sheet name="Income Growth" sheetId="3" r:id="rId3"/>
    <sheet name="Data Typ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F6" i="4"/>
  <c r="G6" i="4"/>
  <c r="H6" i="4"/>
  <c r="I6" i="4"/>
  <c r="J6" i="4"/>
  <c r="K6" i="4"/>
  <c r="L6" i="4"/>
  <c r="M6" i="4"/>
  <c r="D6" i="4"/>
  <c r="M23" i="1"/>
  <c r="K23" i="1"/>
  <c r="J23" i="1"/>
  <c r="I23" i="1"/>
  <c r="H23" i="1"/>
  <c r="G23" i="1"/>
  <c r="E23" i="1"/>
  <c r="D23" i="1"/>
  <c r="F23" i="1"/>
  <c r="L23" i="1"/>
</calcChain>
</file>

<file path=xl/sharedStrings.xml><?xml version="1.0" encoding="utf-8"?>
<sst xmlns="http://schemas.openxmlformats.org/spreadsheetml/2006/main" count="146" uniqueCount="52">
  <si>
    <t>Type of expenditure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</si>
  <si>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</si>
  <si>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</si>
  <si>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</si>
  <si>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</si>
  <si>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</si>
  <si>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</si>
  <si>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</si>
  <si>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</si>
  <si>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</si>
  <si>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</si>
  <si>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Food And Non-Alcoholic Beverages</t>
  </si>
  <si>
    <t>Clothing And Footwear</t>
  </si>
  <si>
    <t>Housing And Utilities</t>
  </si>
  <si>
    <t>Furnishing, Household Equipment And Routine Household Maintenance</t>
  </si>
  <si>
    <t>Health</t>
  </si>
  <si>
    <t>Transport</t>
  </si>
  <si>
    <t>Information And Communication</t>
  </si>
  <si>
    <t>Recreation, Sport And Culture</t>
  </si>
  <si>
    <t>Education</t>
  </si>
  <si>
    <t>Food And Beverage Serving Services</t>
  </si>
  <si>
    <t>Accommodation Services</t>
  </si>
  <si>
    <t>Insurance And Financial Services</t>
  </si>
  <si>
    <t>Personal Care, Social Services And Miscellaneous Goods And Services</t>
  </si>
  <si>
    <t>Non-Assignable Expenditure</t>
  </si>
  <si>
    <t>Average annual expenditure</t>
  </si>
  <si>
    <t>Entertainment</t>
  </si>
  <si>
    <t>Reading</t>
  </si>
  <si>
    <t>Cash contributions</t>
  </si>
  <si>
    <t>Country</t>
  </si>
  <si>
    <t>United States</t>
  </si>
  <si>
    <t>Alcoholic Beverages And Tobacco</t>
  </si>
  <si>
    <t>Data Type</t>
  </si>
  <si>
    <t>Year</t>
  </si>
  <si>
    <t>Data Acquisition Method</t>
  </si>
  <si>
    <t>Real source</t>
  </si>
  <si>
    <t>Average monthly income</t>
  </si>
  <si>
    <t>Average monthly expenditure per year</t>
  </si>
  <si>
    <t>Income Growth</t>
  </si>
  <si>
    <t>Type of Expenditure</t>
  </si>
  <si>
    <t>Food at home</t>
  </si>
  <si>
    <t>Dining Outside</t>
  </si>
  <si>
    <t>Other Expenditures</t>
  </si>
  <si>
    <t>Tyoe of Data</t>
  </si>
  <si>
    <t>Food at Home Growth</t>
  </si>
  <si>
    <t>Dining Out Growth</t>
  </si>
  <si>
    <t>Food Spending Growth</t>
  </si>
  <si>
    <t>Food Inflation</t>
  </si>
  <si>
    <t xml:space="preserve">Inflation </t>
  </si>
  <si>
    <t>Real Spending Growth</t>
  </si>
  <si>
    <t>Real Income Growth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</si>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</sst>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4" xfId="0" applyFont="1" applyBorder="1"/>
    <xf numFmtId="0" fontId="3" fillId="0" borderId="5" xfId="0" applyFont="1" applyBorder="1"/>
    <xf numFmtId="0" fontId="2" fillId="0" borderId="4" xfId="0" applyFont="1" applyBorder="1"/>
    <xf numFmtId="41" fontId="2" fillId="0" borderId="5" xfId="1" applyNumberFormat="1" applyFont="1" applyFill="1" applyBorder="1"/>
    <xf numFmtId="0" fontId="2" fillId="0" borderId="6" xfId="0" applyFont="1" applyBorder="1"/>
    <xf numFmtId="0" fontId="2" fillId="0" borderId="1" xfId="0" applyFont="1" applyBorder="1"/>
    <xf numFmtId="43" fontId="2" fillId="0" borderId="2" xfId="1" applyFont="1" applyFill="1" applyBorder="1"/>
    <xf numFmtId="43" fontId="4" fillId="0" borderId="2" xfId="1" applyFont="1" applyFill="1" applyBorder="1"/>
    <xf numFmtId="43" fontId="2" fillId="0" borderId="3" xfId="1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2" fontId="2" fillId="0" borderId="5" xfId="1" applyNumberFormat="1" applyFont="1" applyFill="1" applyBorder="1"/>
    <xf numFmtId="0" fontId="2" fillId="0" borderId="0" xfId="0" applyFont="1" applyAlignment="1">
      <alignment horizontal="center" vertical="center"/>
    </xf>
    <xf numFmtId="2" fontId="0" fillId="0" borderId="0" xfId="0" applyNumberFormat="1"/>
    <xf numFmtId="43" fontId="0" fillId="0" borderId="0" xfId="0" applyNumberFormat="1"/>
    <xf numFmtId="0" fontId="5" fillId="0" borderId="0" xfId="0" applyFont="1"/>
    <xf numFmtId="0" fontId="0" fillId="3" borderId="1" xfId="0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0" fillId="3" borderId="4" xfId="0" applyFill="1" applyBorder="1"/>
    <xf numFmtId="10" fontId="0" fillId="3" borderId="5" xfId="0" applyNumberFormat="1" applyFill="1" applyBorder="1"/>
    <xf numFmtId="0" fontId="0" fillId="0" borderId="4" xfId="0" applyBorder="1"/>
    <xf numFmtId="10" fontId="0" fillId="0" borderId="5" xfId="0" applyNumberFormat="1" applyBorder="1"/>
    <xf numFmtId="10" fontId="0" fillId="3" borderId="2" xfId="0" applyNumberFormat="1" applyFill="1" applyBorder="1"/>
    <xf numFmtId="0" fontId="0" fillId="0" borderId="1" xfId="0" applyBorder="1"/>
    <xf numFmtId="10" fontId="0" fillId="0" borderId="2" xfId="0" applyNumberFormat="1" applyBorder="1"/>
    <xf numFmtId="0" fontId="2" fillId="0" borderId="0" xfId="0" applyFont="1" applyFill="1" applyAlignment="1">
      <alignment horizontal="center" vertical="center"/>
    </xf>
    <xf numFmtId="2" fontId="0" fillId="0" borderId="7" xfId="0" applyNumberFormat="1" applyBorder="1"/>
  </cellXfs>
  <cellStyles count="2">
    <cellStyle name="Comma" xfId="1" builtinId="3"/>
    <cellStyle name="Normal" xfId="0" builtinId="0"/>
  </cellStyles>
  <dxfs count="3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bgColor auto="1"/>
        </patternFill>
      </fill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4" tint="0.79998168889431442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theme="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3CD181-BC19-4748-8E95-5F9904B94A46}" name="Table3" displayName="Table3" ref="B3:M21" totalsRowShown="0" headerRowDxfId="22" dataDxfId="21" tableBorderDxfId="20" dataCellStyle="Comma">
  <autoFilter ref="B3:M21" xr:uid="{243CD181-BC19-4748-8E95-5F9904B94A46}"/>
  <tableColumns count="12">
    <tableColumn id="1" xr3:uid="{00217765-08D0-46D1-AC51-764C470D2B32}" name="Country" dataDxfId="19"/>
    <tableColumn id="2" xr3:uid="{A3C0EF78-B142-418A-A5D1-4B2942E38030}" name="Type of expenditure" dataDxfId="18"/>
    <tableColumn id="3" xr3:uid="{C2CD1060-B426-44CC-B443-3E8E1BA4EBD4}" name="2015" dataDxfId="17" dataCellStyle="Comma"/>
    <tableColumn id="4" xr3:uid="{482C500F-C65D-4A64-9A35-82FDEF45623A}" name="2016" dataDxfId="16" dataCellStyle="Comma"/>
    <tableColumn id="5" xr3:uid="{C9AA9E57-15AE-4B3B-BE18-74CCA8E9C6ED}" name="2017" dataDxfId="15" dataCellStyle="Comma"/>
    <tableColumn id="6" xr3:uid="{CB610A5D-56AD-4F78-AAB6-781076B027E1}" name="2018" dataDxfId="14" dataCellStyle="Comma"/>
    <tableColumn id="7" xr3:uid="{207D3F2E-5F39-42CF-80A0-EC2FCF2C4D1F}" name="2019" dataDxfId="13" dataCellStyle="Comma"/>
    <tableColumn id="8" xr3:uid="{655DA1D9-DF5D-440F-9498-F25BCBE45E73}" name="2020" dataDxfId="12" dataCellStyle="Comma"/>
    <tableColumn id="9" xr3:uid="{C84B2229-6121-4220-95EF-8D0EAC8B7D3B}" name="2021" dataDxfId="11" dataCellStyle="Comma"/>
    <tableColumn id="10" xr3:uid="{4E849DF2-2FD2-4427-A97B-D356D8D35B97}" name="2022" dataDxfId="10" dataCellStyle="Comma"/>
    <tableColumn id="11" xr3:uid="{5D620064-55B9-40E8-B843-FAD3322E73DC}" name="2023" dataDxfId="9" dataCellStyle="Comma"/>
    <tableColumn id="12" xr3:uid="{60DBFF77-9402-46D5-96AF-34D3F7AE587E}" name="2024" dataDxfId="8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D7A03F-49F3-4571-8024-2C84207A15E6}" name="Table4" displayName="Table4" ref="C2:M5" totalsRowShown="0">
  <autoFilter ref="C2:M5" xr:uid="{24D7A03F-49F3-4571-8024-2C84207A15E6}"/>
  <tableColumns count="11">
    <tableColumn id="1" xr3:uid="{160C6A07-2CB5-493A-91F8-53913DBDD89A}" name="Type of Expenditure"/>
    <tableColumn id="2" xr3:uid="{F4468D08-0356-4438-B920-E696577E066F}" name="2015"/>
    <tableColumn id="3" xr3:uid="{D69E0133-C314-45FF-BAF1-7771861E467A}" name="2016"/>
    <tableColumn id="4" xr3:uid="{CB5B3B4D-9E1C-4B3C-A8C9-CEE693FE80AC}" name="2017"/>
    <tableColumn id="5" xr3:uid="{B0BC93F1-6C74-46A3-B1D0-A954E2530451}" name="2018"/>
    <tableColumn id="6" xr3:uid="{A79BDDEB-C77A-4AA3-B182-0E9A9BD36171}" name="2019"/>
    <tableColumn id="7" xr3:uid="{4C44AAE9-EB44-46DE-93F0-BB98F574FFF3}" name="2020"/>
    <tableColumn id="8" xr3:uid="{A67E125C-D465-4011-AE84-B6D09E2CD0FF}" name="2021"/>
    <tableColumn id="9" xr3:uid="{804F49F2-2BE4-4FE3-9FDD-BF0323492AC7}" name="2022"/>
    <tableColumn id="10" xr3:uid="{54F708A7-2893-4B53-B356-AEB2ED73B00D}" name="2023"/>
    <tableColumn id="11" xr3:uid="{615C323A-AE13-4E67-9C3C-C819498C2319}" name="20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5DAE4A-FA27-4EA0-B199-8D10B07DDFD6}" name="Table5" displayName="Table5" ref="B8:M11" totalsRowShown="0" headerRowDxfId="7" tableBorderDxfId="6">
  <autoFilter ref="B8:M11" xr:uid="{A65DAE4A-FA27-4EA0-B199-8D10B07DDFD6}"/>
  <tableColumns count="12">
    <tableColumn id="1" xr3:uid="{F1D84937-C863-4D3D-B346-0CA4C88E5462}" name="Country"/>
    <tableColumn id="2" xr3:uid="{C3F813F1-C99D-4F01-854C-0E12B2D4C8EC}" name="Type of Expenditure"/>
    <tableColumn id="3" xr3:uid="{7E585076-801F-446B-8965-C4C1D4974397}" name="2015"/>
    <tableColumn id="4" xr3:uid="{16EE4CF4-695E-4CFF-8634-51161D519FDF}" name="2016"/>
    <tableColumn id="5" xr3:uid="{C52E293B-D1F6-4445-9EF6-E82AD7E17940}" name="2017"/>
    <tableColumn id="6" xr3:uid="{04064C56-507C-4501-A37E-A5E0C8227A76}" name="2018"/>
    <tableColumn id="7" xr3:uid="{3AC88FF5-5938-4959-896D-14FCEF07A80D}" name="2019"/>
    <tableColumn id="8" xr3:uid="{DCCD0150-D553-4AC5-9753-A7D862C78B03}" name="2020"/>
    <tableColumn id="9" xr3:uid="{974DFB57-A132-419F-B716-00BC2D2AB37C}" name="2021"/>
    <tableColumn id="10" xr3:uid="{381F3ABF-D5B8-4084-9929-ED8C9B7C029A}" name="2022"/>
    <tableColumn id="11" xr3:uid="{1C92F72C-4803-4D98-AB36-2D5E8E2D1B1F}" name="2023"/>
    <tableColumn id="12" xr3:uid="{0648DEBF-D99F-4ED1-8D2A-BAC7BAB4AF70}" name="20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9C45B9-FA49-4157-AFDC-D917FEED8340}" name="Table2" displayName="Table2" ref="B3:M11" totalsRowShown="0" headerRowDxfId="36" dataDxfId="35" tableBorderDxfId="34">
  <autoFilter ref="B3:M11" xr:uid="{3E9C45B9-FA49-4157-AFDC-D917FEED8340}"/>
  <tableColumns count="12">
    <tableColumn id="1" xr3:uid="{C6BB5C37-CFFF-47A0-8BFD-3880E1C7E184}" name="Country"/>
    <tableColumn id="2" xr3:uid="{92B13707-01E5-4E13-A8F0-88EB9C84F3B1}" name="Tyoe of Data" dataDxfId="33"/>
    <tableColumn id="3" xr3:uid="{9ACCC349-68F2-4EE7-A158-1BF67740894C}" name="2015" dataDxfId="32"/>
    <tableColumn id="4" xr3:uid="{57D697BC-4EA3-423D-B5D4-80E9EF3A6B29}" name="2016" dataDxfId="31"/>
    <tableColumn id="5" xr3:uid="{A9CB8E42-C129-426C-A152-14C89E79F0AD}" name="2017" dataDxfId="30"/>
    <tableColumn id="6" xr3:uid="{E40A2A1D-53C3-4A71-8561-70C8DFB99E53}" name="2018" dataDxfId="29"/>
    <tableColumn id="7" xr3:uid="{E78C5A7C-DCDE-4F23-A64D-AE20F9CEC50D}" name="2019" dataDxfId="28"/>
    <tableColumn id="8" xr3:uid="{0597F93F-0E56-4B59-9021-C46E7DE0DE22}" name="2020" dataDxfId="27"/>
    <tableColumn id="9" xr3:uid="{510085B8-3343-4677-A68F-869623F48FD9}" name="2021" dataDxfId="26"/>
    <tableColumn id="10" xr3:uid="{0D9B680E-2386-42F9-87D1-2B4892E062FC}" name="2022" dataDxfId="25"/>
    <tableColumn id="11" xr3:uid="{2BBFEEA0-54E5-421B-8EA6-4EEDA3B753D6}" name="2023" dataDxfId="24"/>
    <tableColumn id="12" xr3:uid="{38F0C6C6-65C3-4A4C-A624-657BCBA46D9D}" name="2024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3F060D-97DE-4290-AC5D-DCAC3FBE3C27}" name="Table1" displayName="Table1" ref="B2:E12" totalsRowShown="0" headerRowDxfId="5" dataDxfId="4">
  <autoFilter ref="B2:E12" xr:uid="{243F060D-97DE-4290-AC5D-DCAC3FBE3C27}"/>
  <tableColumns count="4">
    <tableColumn id="1" xr3:uid="{EC83F600-758A-49CB-828C-501F7D561429}" name="Country" dataDxfId="3"/>
    <tableColumn id="2" xr3:uid="{EFC2EA30-ACB0-4C55-A52C-42F1ECDB0C1C}" name="Data Type" dataDxfId="2"/>
    <tableColumn id="3" xr3:uid="{8D8009A6-B11F-48B3-8DA4-F60603C91278}" name="Year" dataDxfId="1"/>
    <tableColumn id="4" xr3:uid="{EBE8B278-7F27-4EC7-AED6-C0E3906F5B59}" name="Data Acquisition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13D8-98F8-45AE-A903-1D7071F2213E}">
  <dimension ref="A1:M24"/>
  <sheetViews>
    <sheetView tabSelected="1" workbookViewId="0">
      <selection sqref="A1:XFD1"/>
    </sheetView>
  </sheetViews>
  <sheetFormatPr defaultRowHeight="14.5" x14ac:dyDescent="0.35"/>
  <cols>
    <col min="1" max="1" width="9.26953125" style="1" customWidth="1"/>
    <col min="2" max="2" width="11.7265625" style="1" bestFit="1" customWidth="1"/>
    <col min="3" max="3" width="61.54296875" style="1" bestFit="1" customWidth="1"/>
    <col min="4" max="13" width="10.1796875" style="1" bestFit="1" customWidth="1"/>
    <col min="14" max="16384" width="8.7265625" style="1"/>
  </cols>
  <sheetData>
    <row r="1" spans="1:13" x14ac:dyDescent="0.35">
      <c r="A1" s="16"/>
    </row>
    <row r="2" spans="1:13" x14ac:dyDescent="0.35">
      <c r="B2" s="14" t="s">
        <v>37</v>
      </c>
    </row>
    <row r="3" spans="1:13" x14ac:dyDescent="0.35">
      <c r="B3" s="1" t="s">
        <v>29</v>
      </c>
      <c r="C3" s="2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</row>
    <row r="4" spans="1:13" x14ac:dyDescent="0.35">
      <c r="B4" s="1" t="s">
        <v>30</v>
      </c>
      <c r="C4" s="4" t="s">
        <v>11</v>
      </c>
      <c r="D4" s="15">
        <v>4015</v>
      </c>
      <c r="E4" s="15">
        <v>4049</v>
      </c>
      <c r="F4" s="15">
        <v>4364</v>
      </c>
      <c r="G4" s="15">
        <v>4464</v>
      </c>
      <c r="H4" s="15">
        <v>4643</v>
      </c>
      <c r="I4" s="15">
        <v>4941</v>
      </c>
      <c r="J4" s="15">
        <v>5259</v>
      </c>
      <c r="K4" s="15">
        <v>5704</v>
      </c>
      <c r="L4" s="15">
        <v>6052</v>
      </c>
      <c r="M4" s="15">
        <v>6224</v>
      </c>
    </row>
    <row r="5" spans="1:13" x14ac:dyDescent="0.35">
      <c r="B5" s="1" t="s">
        <v>30</v>
      </c>
      <c r="C5" s="4" t="s">
        <v>20</v>
      </c>
      <c r="D5" s="15">
        <v>3008</v>
      </c>
      <c r="E5" s="15">
        <v>3154</v>
      </c>
      <c r="F5" s="15">
        <v>3365</v>
      </c>
      <c r="G5" s="15">
        <v>3459</v>
      </c>
      <c r="H5" s="15">
        <v>3526</v>
      </c>
      <c r="I5" s="15">
        <v>2375</v>
      </c>
      <c r="J5" s="15">
        <v>3030</v>
      </c>
      <c r="K5" s="15">
        <v>3639</v>
      </c>
      <c r="L5" s="15">
        <v>3933</v>
      </c>
      <c r="M5" s="15">
        <v>3945</v>
      </c>
    </row>
    <row r="6" spans="1:13" x14ac:dyDescent="0.35">
      <c r="B6" s="1" t="s">
        <v>30</v>
      </c>
      <c r="C6" s="6" t="s">
        <v>31</v>
      </c>
      <c r="D6" s="15">
        <v>864</v>
      </c>
      <c r="E6" s="15">
        <v>821</v>
      </c>
      <c r="F6" s="15">
        <v>890</v>
      </c>
      <c r="G6" s="15">
        <v>930</v>
      </c>
      <c r="H6" s="15">
        <v>899</v>
      </c>
      <c r="I6" s="15">
        <v>793</v>
      </c>
      <c r="J6" s="15">
        <v>895</v>
      </c>
      <c r="K6" s="15">
        <v>954</v>
      </c>
      <c r="L6" s="15">
        <v>1007</v>
      </c>
      <c r="M6" s="15">
        <v>995</v>
      </c>
    </row>
    <row r="7" spans="1:13" x14ac:dyDescent="0.35">
      <c r="B7" s="1" t="s">
        <v>30</v>
      </c>
      <c r="C7" s="4" t="s">
        <v>12</v>
      </c>
      <c r="D7" s="15">
        <v>1846</v>
      </c>
      <c r="E7" s="15">
        <v>1803</v>
      </c>
      <c r="F7" s="15">
        <v>1833</v>
      </c>
      <c r="G7" s="15">
        <v>1866</v>
      </c>
      <c r="H7" s="15">
        <v>1883</v>
      </c>
      <c r="I7" s="15">
        <v>1434</v>
      </c>
      <c r="J7" s="15">
        <v>1754</v>
      </c>
      <c r="K7" s="15">
        <v>1945</v>
      </c>
      <c r="L7" s="15">
        <v>2041</v>
      </c>
      <c r="M7" s="15">
        <v>2001</v>
      </c>
    </row>
    <row r="8" spans="1:13" x14ac:dyDescent="0.35">
      <c r="B8" s="1" t="s">
        <v>30</v>
      </c>
      <c r="C8" s="4" t="s">
        <v>13</v>
      </c>
      <c r="D8" s="15">
        <v>18409</v>
      </c>
      <c r="E8" s="15">
        <v>18886</v>
      </c>
      <c r="F8" s="15">
        <v>19884</v>
      </c>
      <c r="G8" s="15">
        <v>20091</v>
      </c>
      <c r="H8" s="15">
        <v>20679</v>
      </c>
      <c r="I8" s="15">
        <v>21409</v>
      </c>
      <c r="J8" s="15">
        <v>22624</v>
      </c>
      <c r="K8" s="15">
        <v>24298</v>
      </c>
      <c r="L8" s="15">
        <v>25436</v>
      </c>
      <c r="M8" s="15">
        <v>26266</v>
      </c>
    </row>
    <row r="9" spans="1:13" x14ac:dyDescent="0.35">
      <c r="B9" s="1" t="s">
        <v>30</v>
      </c>
      <c r="C9" s="4" t="s">
        <v>14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</row>
    <row r="10" spans="1:13" x14ac:dyDescent="0.35">
      <c r="B10" s="1" t="s">
        <v>30</v>
      </c>
      <c r="C10" s="4" t="s">
        <v>15</v>
      </c>
      <c r="D10" s="15">
        <v>4342</v>
      </c>
      <c r="E10" s="15">
        <v>4612</v>
      </c>
      <c r="F10" s="15">
        <v>4928</v>
      </c>
      <c r="G10" s="15">
        <v>4968</v>
      </c>
      <c r="H10" s="15">
        <v>5193</v>
      </c>
      <c r="I10" s="15">
        <v>5177</v>
      </c>
      <c r="J10" s="15">
        <v>5452</v>
      </c>
      <c r="K10" s="15">
        <v>5850</v>
      </c>
      <c r="L10" s="15">
        <v>6159</v>
      </c>
      <c r="M10" s="15">
        <v>6197</v>
      </c>
    </row>
    <row r="11" spans="1:13" x14ac:dyDescent="0.35">
      <c r="B11" s="1" t="s">
        <v>30</v>
      </c>
      <c r="C11" s="4" t="s">
        <v>16</v>
      </c>
      <c r="D11" s="15">
        <v>9503</v>
      </c>
      <c r="E11" s="15">
        <v>9049</v>
      </c>
      <c r="F11" s="15">
        <v>9576</v>
      </c>
      <c r="G11" s="15">
        <v>9761</v>
      </c>
      <c r="H11" s="15">
        <v>10742</v>
      </c>
      <c r="I11" s="15">
        <v>9826</v>
      </c>
      <c r="J11" s="15">
        <v>10961</v>
      </c>
      <c r="K11" s="15">
        <v>12295</v>
      </c>
      <c r="L11" s="15">
        <v>13174</v>
      </c>
      <c r="M11" s="15">
        <v>13318</v>
      </c>
    </row>
    <row r="12" spans="1:13" x14ac:dyDescent="0.35">
      <c r="B12" s="1" t="s">
        <v>30</v>
      </c>
      <c r="C12" s="4" t="s">
        <v>17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x14ac:dyDescent="0.35">
      <c r="B13" s="1" t="s">
        <v>30</v>
      </c>
      <c r="C13" s="4" t="s">
        <v>18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x14ac:dyDescent="0.35">
      <c r="B14" s="1" t="s">
        <v>30</v>
      </c>
      <c r="C14" s="4" t="s">
        <v>19</v>
      </c>
      <c r="D14" s="15">
        <v>1315</v>
      </c>
      <c r="E14" s="15">
        <v>1329</v>
      </c>
      <c r="F14" s="15">
        <v>1491</v>
      </c>
      <c r="G14" s="15">
        <v>1407</v>
      </c>
      <c r="H14" s="15">
        <v>1443</v>
      </c>
      <c r="I14" s="15">
        <v>1271</v>
      </c>
      <c r="J14" s="15">
        <v>1228</v>
      </c>
      <c r="K14" s="15">
        <v>1335</v>
      </c>
      <c r="L14" s="15">
        <v>1535</v>
      </c>
      <c r="M14" s="15">
        <v>1569</v>
      </c>
    </row>
    <row r="15" spans="1:13" x14ac:dyDescent="0.35">
      <c r="B15" s="1" t="s">
        <v>30</v>
      </c>
      <c r="C15" s="4" t="s">
        <v>21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x14ac:dyDescent="0.35">
      <c r="B16" s="1" t="s">
        <v>30</v>
      </c>
      <c r="C16" s="4" t="s">
        <v>22</v>
      </c>
      <c r="D16" s="15">
        <v>6349</v>
      </c>
      <c r="E16" s="15">
        <v>6831</v>
      </c>
      <c r="F16" s="15">
        <v>6771</v>
      </c>
      <c r="G16" s="15">
        <v>7296</v>
      </c>
      <c r="H16" s="15">
        <v>7165</v>
      </c>
      <c r="I16" s="15">
        <v>7246</v>
      </c>
      <c r="J16" s="15">
        <v>7873</v>
      </c>
      <c r="K16" s="15">
        <v>8742</v>
      </c>
      <c r="L16" s="15">
        <v>9556</v>
      </c>
      <c r="M16" s="15">
        <v>9797</v>
      </c>
    </row>
    <row r="17" spans="2:13" x14ac:dyDescent="0.35">
      <c r="B17" s="1" t="s">
        <v>30</v>
      </c>
      <c r="C17" s="4" t="s">
        <v>23</v>
      </c>
      <c r="D17" s="15">
        <v>683</v>
      </c>
      <c r="E17" s="15">
        <v>707</v>
      </c>
      <c r="F17" s="15">
        <v>762</v>
      </c>
      <c r="G17" s="15">
        <v>768</v>
      </c>
      <c r="H17" s="15">
        <v>786</v>
      </c>
      <c r="I17" s="15">
        <v>646</v>
      </c>
      <c r="J17" s="15">
        <v>771</v>
      </c>
      <c r="K17" s="15">
        <v>866</v>
      </c>
      <c r="L17" s="15">
        <v>950</v>
      </c>
      <c r="M17" s="15">
        <v>978</v>
      </c>
    </row>
    <row r="18" spans="2:13" x14ac:dyDescent="0.35">
      <c r="B18" s="1" t="s">
        <v>30</v>
      </c>
      <c r="C18" s="4" t="s">
        <v>26</v>
      </c>
      <c r="D18" s="15">
        <v>2842</v>
      </c>
      <c r="E18" s="15">
        <v>2913</v>
      </c>
      <c r="F18" s="15">
        <v>3203</v>
      </c>
      <c r="G18" s="15">
        <v>3226</v>
      </c>
      <c r="H18" s="15">
        <v>3090</v>
      </c>
      <c r="I18" s="15">
        <v>2912</v>
      </c>
      <c r="J18" s="15">
        <v>3568</v>
      </c>
      <c r="K18" s="15">
        <v>3458</v>
      </c>
      <c r="L18" s="15">
        <v>3635</v>
      </c>
      <c r="M18" s="15">
        <v>3609</v>
      </c>
    </row>
    <row r="19" spans="2:13" x14ac:dyDescent="0.35">
      <c r="B19" s="1" t="s">
        <v>30</v>
      </c>
      <c r="C19" s="4" t="s">
        <v>27</v>
      </c>
      <c r="D19" s="15">
        <v>114</v>
      </c>
      <c r="E19" s="15">
        <v>118</v>
      </c>
      <c r="F19" s="15">
        <v>110</v>
      </c>
      <c r="G19" s="15">
        <v>108</v>
      </c>
      <c r="H19" s="15">
        <v>92</v>
      </c>
      <c r="I19" s="15">
        <v>114</v>
      </c>
      <c r="J19" s="15">
        <v>114</v>
      </c>
      <c r="K19" s="15">
        <v>117</v>
      </c>
      <c r="L19" s="15">
        <v>117</v>
      </c>
      <c r="M19" s="15">
        <v>125</v>
      </c>
    </row>
    <row r="20" spans="2:13" x14ac:dyDescent="0.35">
      <c r="B20" s="1" t="s">
        <v>30</v>
      </c>
      <c r="C20" s="4" t="s">
        <v>28</v>
      </c>
      <c r="D20" s="15">
        <v>1819</v>
      </c>
      <c r="E20" s="15">
        <v>2081</v>
      </c>
      <c r="F20" s="15">
        <v>1873</v>
      </c>
      <c r="G20" s="15">
        <v>1888</v>
      </c>
      <c r="H20" s="15">
        <v>1995</v>
      </c>
      <c r="I20" s="15">
        <v>2283</v>
      </c>
      <c r="J20" s="15">
        <v>2415</v>
      </c>
      <c r="K20" s="15">
        <v>2755</v>
      </c>
      <c r="L20" s="15">
        <v>2378</v>
      </c>
      <c r="M20" s="15">
        <v>2292</v>
      </c>
    </row>
    <row r="21" spans="2:13" x14ac:dyDescent="0.35">
      <c r="B21" s="1" t="s">
        <v>30</v>
      </c>
      <c r="C21" s="4" t="s">
        <v>24</v>
      </c>
      <c r="D21" s="15">
        <v>871</v>
      </c>
      <c r="E21" s="15">
        <v>959</v>
      </c>
      <c r="F21" s="15">
        <v>1010</v>
      </c>
      <c r="G21" s="15">
        <v>993</v>
      </c>
      <c r="H21" s="15">
        <v>899</v>
      </c>
      <c r="I21" s="15">
        <v>907</v>
      </c>
      <c r="J21" s="15">
        <v>986</v>
      </c>
      <c r="K21" s="15">
        <v>1009</v>
      </c>
      <c r="L21" s="15">
        <v>1184</v>
      </c>
      <c r="M21" s="15">
        <v>1218</v>
      </c>
    </row>
    <row r="22" spans="2:13" x14ac:dyDescent="0.35"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2:13" x14ac:dyDescent="0.35">
      <c r="B23" s="1" t="s">
        <v>30</v>
      </c>
      <c r="C23" s="7" t="s">
        <v>25</v>
      </c>
      <c r="D23" s="8">
        <f t="shared" ref="D23:J23" si="0">SUM(D4:D21)</f>
        <v>55980</v>
      </c>
      <c r="E23" s="8">
        <f t="shared" si="0"/>
        <v>57312</v>
      </c>
      <c r="F23" s="8">
        <f t="shared" si="0"/>
        <v>60060</v>
      </c>
      <c r="G23" s="8">
        <f t="shared" si="0"/>
        <v>61225</v>
      </c>
      <c r="H23" s="8">
        <f t="shared" si="0"/>
        <v>63035</v>
      </c>
      <c r="I23" s="8">
        <f t="shared" si="0"/>
        <v>61334</v>
      </c>
      <c r="J23" s="8">
        <f t="shared" si="0"/>
        <v>66930</v>
      </c>
      <c r="K23" s="9">
        <f t="shared" ref="K23" si="1">SUM(K4:K20)</f>
        <v>71958</v>
      </c>
      <c r="L23" s="8">
        <f>SUM(L4:L21)</f>
        <v>77157</v>
      </c>
      <c r="M23" s="10">
        <f>SUM(M4:M21)</f>
        <v>78534</v>
      </c>
    </row>
    <row r="24" spans="2:13" x14ac:dyDescent="0.35">
      <c r="C24" s="7"/>
      <c r="D24" s="11"/>
      <c r="E24" s="11"/>
      <c r="F24" s="11"/>
      <c r="G24" s="11"/>
      <c r="H24" s="11"/>
      <c r="I24" s="11"/>
      <c r="J24" s="11"/>
      <c r="K24" s="11"/>
      <c r="L24" s="11"/>
      <c r="M24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0284-DE76-4268-BA52-C3C6F702815E}">
  <dimension ref="B2:M11"/>
  <sheetViews>
    <sheetView workbookViewId="0">
      <selection activeCell="H14" sqref="H14"/>
    </sheetView>
  </sheetViews>
  <sheetFormatPr defaultRowHeight="14.5" x14ac:dyDescent="0.35"/>
  <cols>
    <col min="2" max="2" width="11.7265625" bestFit="1" customWidth="1"/>
    <col min="3" max="3" width="19.1796875" customWidth="1"/>
    <col min="4" max="13" width="10.1796875" bestFit="1" customWidth="1"/>
  </cols>
  <sheetData>
    <row r="2" spans="2:13" x14ac:dyDescent="0.35">
      <c r="C2" s="19" t="s">
        <v>39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2:13" x14ac:dyDescent="0.35">
      <c r="C3" t="s">
        <v>40</v>
      </c>
      <c r="D3" s="17">
        <v>4879</v>
      </c>
      <c r="E3" s="17">
        <v>4870</v>
      </c>
      <c r="F3" s="17">
        <v>5254</v>
      </c>
      <c r="G3" s="17">
        <v>5394</v>
      </c>
      <c r="H3" s="17">
        <v>5542</v>
      </c>
      <c r="I3" s="17">
        <v>5734</v>
      </c>
      <c r="J3" s="17">
        <v>6154</v>
      </c>
      <c r="K3" s="17">
        <v>6658</v>
      </c>
      <c r="L3" s="17">
        <v>7059</v>
      </c>
      <c r="M3" s="17">
        <v>7219</v>
      </c>
    </row>
    <row r="4" spans="2:13" x14ac:dyDescent="0.35">
      <c r="C4" t="s">
        <v>41</v>
      </c>
      <c r="D4" s="17">
        <v>3008</v>
      </c>
      <c r="E4" s="17">
        <v>3154</v>
      </c>
      <c r="F4" s="17">
        <v>3365</v>
      </c>
      <c r="G4" s="17">
        <v>3459</v>
      </c>
      <c r="H4" s="17">
        <v>3526</v>
      </c>
      <c r="I4" s="17">
        <v>2375</v>
      </c>
      <c r="J4" s="17">
        <v>3030</v>
      </c>
      <c r="K4" s="17">
        <v>3639</v>
      </c>
      <c r="L4" s="17">
        <v>3933</v>
      </c>
      <c r="M4" s="17">
        <v>3945</v>
      </c>
    </row>
    <row r="5" spans="2:13" x14ac:dyDescent="0.35">
      <c r="C5" t="s">
        <v>42</v>
      </c>
      <c r="D5" s="18">
        <v>48093</v>
      </c>
      <c r="E5" s="18">
        <v>49288</v>
      </c>
      <c r="F5" s="18">
        <v>51441</v>
      </c>
      <c r="G5" s="18">
        <v>52372</v>
      </c>
      <c r="H5" s="18">
        <v>53967</v>
      </c>
      <c r="I5" s="18">
        <v>53225</v>
      </c>
      <c r="J5" s="18">
        <v>57746</v>
      </c>
      <c r="K5" s="18">
        <v>61661</v>
      </c>
      <c r="L5" s="18">
        <v>66165</v>
      </c>
      <c r="M5" s="18">
        <v>67370</v>
      </c>
    </row>
    <row r="6" spans="2:13" ht="15" thickBot="1" x14ac:dyDescent="0.4">
      <c r="C6" s="19" t="s">
        <v>51</v>
      </c>
      <c r="D6" s="31">
        <f>SUM(Table4[2015])</f>
        <v>55980</v>
      </c>
      <c r="E6" s="31">
        <f>SUM(Table4[2016])</f>
        <v>57312</v>
      </c>
      <c r="F6" s="31">
        <f>SUM(Table4[2017])</f>
        <v>60060</v>
      </c>
      <c r="G6" s="31">
        <f>SUM(Table4[2018])</f>
        <v>61225</v>
      </c>
      <c r="H6" s="31">
        <f>SUM(Table4[2019])</f>
        <v>63035</v>
      </c>
      <c r="I6" s="31">
        <f>SUM(Table4[2020])</f>
        <v>61334</v>
      </c>
      <c r="J6" s="31">
        <f>SUM(Table4[2021])</f>
        <v>66930</v>
      </c>
      <c r="K6" s="31">
        <f>SUM(Table4[2022])</f>
        <v>71958</v>
      </c>
      <c r="L6" s="31">
        <f>SUM(Table4[2023])</f>
        <v>77157</v>
      </c>
      <c r="M6" s="31">
        <f>SUM(Table4[2024])</f>
        <v>78534</v>
      </c>
    </row>
    <row r="7" spans="2:13" ht="15" thickTop="1" x14ac:dyDescent="0.35"/>
    <row r="8" spans="2:13" x14ac:dyDescent="0.35">
      <c r="B8" t="s">
        <v>29</v>
      </c>
      <c r="C8" s="21" t="s">
        <v>39</v>
      </c>
      <c r="D8" s="22" t="s">
        <v>1</v>
      </c>
      <c r="E8" s="22" t="s">
        <v>2</v>
      </c>
      <c r="F8" s="22" t="s">
        <v>3</v>
      </c>
      <c r="G8" s="22" t="s">
        <v>4</v>
      </c>
      <c r="H8" s="22" t="s">
        <v>5</v>
      </c>
      <c r="I8" s="22" t="s">
        <v>6</v>
      </c>
      <c r="J8" s="22" t="s">
        <v>7</v>
      </c>
      <c r="K8" s="22" t="s">
        <v>8</v>
      </c>
      <c r="L8" s="22" t="s">
        <v>9</v>
      </c>
      <c r="M8" s="22" t="s">
        <v>10</v>
      </c>
    </row>
    <row r="9" spans="2:13" x14ac:dyDescent="0.35">
      <c r="B9" t="s">
        <v>30</v>
      </c>
      <c r="C9" s="23" t="s">
        <v>40</v>
      </c>
      <c r="D9" s="24">
        <v>8.7156127188281529E-2</v>
      </c>
      <c r="E9" s="24">
        <v>8.4973478503629254E-2</v>
      </c>
      <c r="F9" s="24">
        <v>8.7479187479187481E-2</v>
      </c>
      <c r="G9" s="24">
        <v>8.8101265822784811E-2</v>
      </c>
      <c r="H9" s="24">
        <v>8.7919409851669711E-2</v>
      </c>
      <c r="I9" s="24">
        <v>9.3488114259627608E-2</v>
      </c>
      <c r="J9" s="24">
        <v>9.1946810100104581E-2</v>
      </c>
      <c r="K9" s="24">
        <v>9.2526195836460157E-2</v>
      </c>
      <c r="L9" s="24">
        <v>9.1488782612076672E-2</v>
      </c>
      <c r="M9" s="24">
        <v>9.1921970102121373E-2</v>
      </c>
    </row>
    <row r="10" spans="2:13" x14ac:dyDescent="0.35">
      <c r="B10" t="s">
        <v>30</v>
      </c>
      <c r="C10" s="25" t="s">
        <v>41</v>
      </c>
      <c r="D10" s="26">
        <v>5.3733476241514824E-2</v>
      </c>
      <c r="E10" s="26">
        <v>5.5032104969290896E-2</v>
      </c>
      <c r="F10" s="26">
        <v>5.6027306027306024E-2</v>
      </c>
      <c r="G10" s="26">
        <v>5.6496529195590034E-2</v>
      </c>
      <c r="H10" s="26">
        <v>5.5937177758388197E-2</v>
      </c>
      <c r="I10" s="26">
        <v>3.8722405191247922E-2</v>
      </c>
      <c r="J10" s="26">
        <v>4.5271178843567905E-2</v>
      </c>
      <c r="K10" s="26">
        <v>5.0571166513799719E-2</v>
      </c>
      <c r="L10" s="26">
        <v>5.0973988102181268E-2</v>
      </c>
      <c r="M10" s="26">
        <v>5.0233020093208035E-2</v>
      </c>
    </row>
    <row r="11" spans="2:13" x14ac:dyDescent="0.35">
      <c r="B11" t="s">
        <v>30</v>
      </c>
      <c r="C11" s="20" t="s">
        <v>42</v>
      </c>
      <c r="D11" s="27">
        <v>0.8591103965702036</v>
      </c>
      <c r="E11" s="27">
        <v>0.85999441652707986</v>
      </c>
      <c r="F11" s="27">
        <v>0.85649350649350653</v>
      </c>
      <c r="G11" s="27">
        <v>0.85540220498162511</v>
      </c>
      <c r="H11" s="27">
        <v>0.85614341238994207</v>
      </c>
      <c r="I11" s="27">
        <v>0.86778948054912441</v>
      </c>
      <c r="J11" s="27">
        <v>0.86278201105632746</v>
      </c>
      <c r="K11" s="27">
        <v>0.85690263764974017</v>
      </c>
      <c r="L11" s="27">
        <v>0.85753722928574205</v>
      </c>
      <c r="M11" s="27">
        <v>0.8578450098046706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2646-8B37-45CD-9751-97F93FD4C751}">
  <dimension ref="B3:M11"/>
  <sheetViews>
    <sheetView workbookViewId="0">
      <selection activeCell="H16" sqref="H16"/>
    </sheetView>
  </sheetViews>
  <sheetFormatPr defaultRowHeight="14.5" x14ac:dyDescent="0.35"/>
  <cols>
    <col min="2" max="2" width="11.7265625" bestFit="1" customWidth="1"/>
    <col min="3" max="3" width="18.36328125" bestFit="1" customWidth="1"/>
    <col min="5" max="5" width="10.90625" bestFit="1" customWidth="1"/>
  </cols>
  <sheetData>
    <row r="3" spans="2:13" x14ac:dyDescent="0.35">
      <c r="B3" t="s">
        <v>29</v>
      </c>
      <c r="C3" s="21" t="s">
        <v>43</v>
      </c>
      <c r="D3" s="22" t="s">
        <v>1</v>
      </c>
      <c r="E3" s="22" t="s">
        <v>2</v>
      </c>
      <c r="F3" s="22" t="s">
        <v>3</v>
      </c>
      <c r="G3" s="22" t="s">
        <v>4</v>
      </c>
      <c r="H3" s="22" t="s">
        <v>5</v>
      </c>
      <c r="I3" s="22" t="s">
        <v>6</v>
      </c>
      <c r="J3" s="22" t="s">
        <v>7</v>
      </c>
      <c r="K3" s="22" t="s">
        <v>8</v>
      </c>
      <c r="L3" s="22" t="s">
        <v>9</v>
      </c>
      <c r="M3" s="22" t="s">
        <v>10</v>
      </c>
    </row>
    <row r="4" spans="2:13" x14ac:dyDescent="0.35">
      <c r="B4" t="s">
        <v>30</v>
      </c>
      <c r="C4" s="23" t="s">
        <v>38</v>
      </c>
      <c r="D4" s="24">
        <v>0</v>
      </c>
      <c r="E4" s="24">
        <v>7.2342625705545269E-2</v>
      </c>
      <c r="F4" s="24">
        <v>-1.4612129004607307E-2</v>
      </c>
      <c r="G4" s="24">
        <v>6.8802413929022879E-2</v>
      </c>
      <c r="H4" s="24">
        <v>5.3627519552362182E-2</v>
      </c>
      <c r="I4" s="24">
        <v>1.8104572007917732E-2</v>
      </c>
      <c r="J4" s="24">
        <v>3.6513657056145676E-2</v>
      </c>
      <c r="K4" s="24">
        <v>7.5155549455576912E-2</v>
      </c>
      <c r="L4" s="24">
        <v>8.2997351148367607E-2</v>
      </c>
      <c r="M4" s="24">
        <v>2.3594126025244341E-2</v>
      </c>
    </row>
    <row r="5" spans="2:13" x14ac:dyDescent="0.35">
      <c r="B5" t="s">
        <v>30</v>
      </c>
      <c r="C5" s="25" t="s">
        <v>44</v>
      </c>
      <c r="D5" s="26">
        <v>0</v>
      </c>
      <c r="E5" s="26">
        <v>-1.8446402951424472E-3</v>
      </c>
      <c r="F5" s="26">
        <v>7.8850102669404523E-2</v>
      </c>
      <c r="G5" s="26">
        <v>2.6646364674533688E-2</v>
      </c>
      <c r="H5" s="26">
        <v>2.7437893956247683E-2</v>
      </c>
      <c r="I5" s="26">
        <v>3.4644532659689642E-2</v>
      </c>
      <c r="J5" s="26">
        <v>7.3247296825950464E-2</v>
      </c>
      <c r="K5" s="26">
        <v>8.1897952551186218E-2</v>
      </c>
      <c r="L5" s="26">
        <v>6.0228296785821568E-2</v>
      </c>
      <c r="M5" s="26">
        <v>2.2666100014166312E-2</v>
      </c>
    </row>
    <row r="6" spans="2:13" x14ac:dyDescent="0.35">
      <c r="B6" t="s">
        <v>30</v>
      </c>
      <c r="C6" s="23" t="s">
        <v>45</v>
      </c>
      <c r="D6" s="24">
        <v>0</v>
      </c>
      <c r="E6" s="24">
        <v>4.8537234042553189E-2</v>
      </c>
      <c r="F6" s="24">
        <v>6.6899175649968293E-2</v>
      </c>
      <c r="G6" s="24">
        <v>2.7934621099554236E-2</v>
      </c>
      <c r="H6" s="24">
        <v>1.9369760046256145E-2</v>
      </c>
      <c r="I6" s="24">
        <v>-0.32643221781055021</v>
      </c>
      <c r="J6" s="24">
        <v>0.27578947368421053</v>
      </c>
      <c r="K6" s="24">
        <v>0.200990099009901</v>
      </c>
      <c r="L6" s="24">
        <v>8.0791426215993403E-2</v>
      </c>
      <c r="M6" s="24">
        <v>3.0511060259344014E-3</v>
      </c>
    </row>
    <row r="7" spans="2:13" x14ac:dyDescent="0.35">
      <c r="B7" t="s">
        <v>30</v>
      </c>
      <c r="C7" s="25" t="s">
        <v>46</v>
      </c>
      <c r="D7" s="26">
        <v>0</v>
      </c>
      <c r="E7" s="26">
        <v>1.7370356282490174E-2</v>
      </c>
      <c r="F7" s="26">
        <v>7.4152542372881353E-2</v>
      </c>
      <c r="G7" s="26">
        <v>2.7149321266968326E-2</v>
      </c>
      <c r="H7" s="26">
        <v>2.4285552919914154E-2</v>
      </c>
      <c r="I7" s="26">
        <v>-0.10575650639611822</v>
      </c>
      <c r="J7" s="26">
        <v>0.13256875077074856</v>
      </c>
      <c r="K7" s="26">
        <v>0.1211890243902439</v>
      </c>
      <c r="L7" s="26">
        <v>6.7495387005924057E-2</v>
      </c>
      <c r="M7" s="26">
        <v>1.5647743813682679E-2</v>
      </c>
    </row>
    <row r="8" spans="2:13" x14ac:dyDescent="0.35">
      <c r="B8" t="s">
        <v>30</v>
      </c>
      <c r="C8" s="23" t="s">
        <v>48</v>
      </c>
      <c r="D8" s="24">
        <v>1</v>
      </c>
      <c r="E8" s="24">
        <v>1.0125999999999999</v>
      </c>
      <c r="F8" s="24">
        <v>1.0342</v>
      </c>
      <c r="G8" s="24">
        <v>1.0595000000000001</v>
      </c>
      <c r="H8" s="24">
        <v>1.0787</v>
      </c>
      <c r="I8" s="24">
        <v>1.0920000000000001</v>
      </c>
      <c r="J8" s="24">
        <v>1.1433</v>
      </c>
      <c r="K8" s="24">
        <v>1.2348000000000001</v>
      </c>
      <c r="L8" s="24">
        <v>1.2856000000000001</v>
      </c>
      <c r="M8" s="24">
        <v>1.3234999999999999</v>
      </c>
    </row>
    <row r="9" spans="2:13" x14ac:dyDescent="0.35">
      <c r="B9" t="s">
        <v>30</v>
      </c>
      <c r="C9" s="28" t="s">
        <v>47</v>
      </c>
      <c r="D9" s="29">
        <v>1</v>
      </c>
      <c r="E9" s="29">
        <v>0.98680000000000012</v>
      </c>
      <c r="F9" s="29">
        <v>0.98480000000000001</v>
      </c>
      <c r="G9" s="29">
        <v>0.98919999999999997</v>
      </c>
      <c r="H9" s="29">
        <v>0.998</v>
      </c>
      <c r="I9" s="29">
        <v>1.0329999999999999</v>
      </c>
      <c r="J9" s="29">
        <v>1.0688</v>
      </c>
      <c r="K9" s="29">
        <v>1.1911</v>
      </c>
      <c r="L9" s="29">
        <v>1.25</v>
      </c>
      <c r="M9" s="29">
        <v>1.2645</v>
      </c>
    </row>
    <row r="10" spans="2:13" x14ac:dyDescent="0.35">
      <c r="B10" t="s">
        <v>30</v>
      </c>
      <c r="C10" s="25" t="s">
        <v>49</v>
      </c>
      <c r="D10" s="26">
        <v>0</v>
      </c>
      <c r="E10" s="26">
        <v>1.7154213196217828E-2</v>
      </c>
      <c r="F10" s="26">
        <v>7.1700389066796905E-2</v>
      </c>
      <c r="G10" s="26">
        <v>2.5624654334089971E-2</v>
      </c>
      <c r="H10" s="26">
        <v>2.2513722925664368E-2</v>
      </c>
      <c r="I10" s="26">
        <v>-9.6846617578862829E-2</v>
      </c>
      <c r="J10" s="26">
        <v>0.11595272524337319</v>
      </c>
      <c r="K10" s="26">
        <v>9.8144658560288214E-2</v>
      </c>
      <c r="L10" s="26">
        <v>5.2501078878285666E-2</v>
      </c>
      <c r="M10" s="26">
        <v>1.1823002503726997E-2</v>
      </c>
    </row>
    <row r="11" spans="2:13" x14ac:dyDescent="0.35">
      <c r="B11" t="s">
        <v>30</v>
      </c>
      <c r="C11" s="25" t="s">
        <v>50</v>
      </c>
      <c r="D11" s="26">
        <v>0</v>
      </c>
      <c r="E11" s="26">
        <v>7.1442450825148399E-2</v>
      </c>
      <c r="F11" s="26">
        <v>-1.4128919942571367E-2</v>
      </c>
      <c r="G11" s="26">
        <v>6.4938569069393937E-2</v>
      </c>
      <c r="H11" s="26">
        <v>4.9714952769409647E-2</v>
      </c>
      <c r="I11" s="26">
        <v>1.6579278395529057E-2</v>
      </c>
      <c r="J11" s="26">
        <v>3.1937074307833185E-2</v>
      </c>
      <c r="K11" s="26">
        <v>6.0864552523142941E-2</v>
      </c>
      <c r="L11" s="26">
        <v>6.4559233936191354E-2</v>
      </c>
      <c r="M11" s="26">
        <v>1.7827069153943591E-2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F9F6-2A54-468F-AD35-2B2EC4581CB3}">
  <dimension ref="A1:E12"/>
  <sheetViews>
    <sheetView workbookViewId="0"/>
  </sheetViews>
  <sheetFormatPr defaultRowHeight="14.5" x14ac:dyDescent="0.35"/>
  <cols>
    <col min="1" max="1" width="14.453125" style="1" bestFit="1" customWidth="1"/>
    <col min="2" max="2" width="12" style="1" bestFit="1" customWidth="1"/>
    <col min="3" max="3" width="22" style="1" bestFit="1" customWidth="1"/>
    <col min="4" max="4" width="9.08984375" style="1" bestFit="1" customWidth="1"/>
    <col min="5" max="5" width="26.08984375" style="1" bestFit="1" customWidth="1"/>
    <col min="6" max="16384" width="8.7265625" style="1"/>
  </cols>
  <sheetData>
    <row r="1" spans="1:5" x14ac:dyDescent="0.35">
      <c r="A1" s="30"/>
    </row>
    <row r="2" spans="1:5" x14ac:dyDescent="0.35">
      <c r="B2" s="13" t="s">
        <v>29</v>
      </c>
      <c r="C2" s="13" t="s">
        <v>32</v>
      </c>
      <c r="D2" s="13" t="s">
        <v>33</v>
      </c>
      <c r="E2" s="13" t="s">
        <v>34</v>
      </c>
    </row>
    <row r="3" spans="1:5" x14ac:dyDescent="0.35">
      <c r="B3" s="1" t="s">
        <v>30</v>
      </c>
      <c r="C3" s="1" t="s">
        <v>36</v>
      </c>
      <c r="D3" s="13">
        <v>2015</v>
      </c>
      <c r="E3" s="13" t="s">
        <v>35</v>
      </c>
    </row>
    <row r="4" spans="1:5" x14ac:dyDescent="0.35">
      <c r="B4" s="1" t="s">
        <v>30</v>
      </c>
      <c r="C4" s="1" t="s">
        <v>36</v>
      </c>
      <c r="D4" s="13">
        <v>2016</v>
      </c>
      <c r="E4" s="13" t="s">
        <v>35</v>
      </c>
    </row>
    <row r="5" spans="1:5" x14ac:dyDescent="0.35">
      <c r="B5" s="1" t="s">
        <v>30</v>
      </c>
      <c r="C5" s="1" t="s">
        <v>36</v>
      </c>
      <c r="D5" s="13">
        <v>2017</v>
      </c>
      <c r="E5" s="13" t="s">
        <v>35</v>
      </c>
    </row>
    <row r="6" spans="1:5" x14ac:dyDescent="0.35">
      <c r="B6" s="1" t="s">
        <v>30</v>
      </c>
      <c r="C6" s="1" t="s">
        <v>36</v>
      </c>
      <c r="D6" s="13">
        <v>2018</v>
      </c>
      <c r="E6" s="13" t="s">
        <v>35</v>
      </c>
    </row>
    <row r="7" spans="1:5" x14ac:dyDescent="0.35">
      <c r="B7" s="1" t="s">
        <v>30</v>
      </c>
      <c r="C7" s="1" t="s">
        <v>36</v>
      </c>
      <c r="D7" s="13">
        <v>2019</v>
      </c>
      <c r="E7" s="13" t="s">
        <v>35</v>
      </c>
    </row>
    <row r="8" spans="1:5" x14ac:dyDescent="0.35">
      <c r="B8" s="1" t="s">
        <v>30</v>
      </c>
      <c r="C8" s="1" t="s">
        <v>36</v>
      </c>
      <c r="D8" s="13">
        <v>2020</v>
      </c>
      <c r="E8" s="13" t="s">
        <v>35</v>
      </c>
    </row>
    <row r="9" spans="1:5" x14ac:dyDescent="0.35">
      <c r="B9" s="1" t="s">
        <v>30</v>
      </c>
      <c r="C9" s="1" t="s">
        <v>36</v>
      </c>
      <c r="D9" s="13">
        <v>2021</v>
      </c>
      <c r="E9" s="13" t="s">
        <v>35</v>
      </c>
    </row>
    <row r="10" spans="1:5" x14ac:dyDescent="0.35">
      <c r="B10" s="1" t="s">
        <v>30</v>
      </c>
      <c r="C10" s="1" t="s">
        <v>36</v>
      </c>
      <c r="D10" s="13">
        <v>2022</v>
      </c>
      <c r="E10" s="13" t="s">
        <v>35</v>
      </c>
    </row>
    <row r="11" spans="1:5" x14ac:dyDescent="0.35">
      <c r="B11" s="1" t="s">
        <v>30</v>
      </c>
      <c r="C11" s="1" t="s">
        <v>36</v>
      </c>
      <c r="D11" s="13">
        <v>2023</v>
      </c>
      <c r="E11" s="13" t="s">
        <v>35</v>
      </c>
    </row>
    <row r="12" spans="1:5" x14ac:dyDescent="0.35">
      <c r="B12" s="1" t="s">
        <v>30</v>
      </c>
      <c r="C12" s="1" t="s">
        <v>36</v>
      </c>
      <c r="D12" s="13">
        <v>2024</v>
      </c>
      <c r="E12" s="1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Average monthly income</vt:lpstr>
      <vt:lpstr>Food at home and outside</vt:lpstr>
      <vt:lpstr>Income Growth</vt:lpstr>
      <vt:lpstr>Data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Afiq Roslan</dc:creator>
  <cp:lastModifiedBy>Afiq Roslan</cp:lastModifiedBy>
  <dcterms:created xsi:type="dcterms:W3CDTF">2026-01-13T13:43:48Z</dcterms:created>
  <dcterms:modified xsi:type="dcterms:W3CDTF">2026-02-14T04:41:30Z</dcterms:modified>
</cp:coreProperties>
</file>
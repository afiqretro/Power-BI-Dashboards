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iqr\Downloads\"/>
    </mc:Choice>
  </mc:AlternateContent>
  <xr:revisionPtr revIDLastSave="0" documentId="13_ncr:1_{AF662C78-1BFF-44D1-8971-E66F41430AA6}" xr6:coauthVersionLast="47" xr6:coauthVersionMax="47" xr10:uidLastSave="{00000000-0000-0000-0000-000000000000}"/>
  <bookViews>
    <workbookView xWindow="-110" yWindow="-110" windowWidth="19420" windowHeight="10300" firstSheet="3" activeTab="3" xr2:uid="{EDD3299F-02BD-44B7-B90A-9F08C3E22831}"/>
  </bookViews>
  <sheets>
    <sheet name="Average monthly expenditure per" sheetId="2" r:id="rId1"/>
    <sheet name="Food at home and out" sheetId="10" r:id="rId2"/>
    <sheet name="Income Growth" sheetId="11" r:id="rId3"/>
    <sheet name="Average monthly income per year" sheetId="5" r:id="rId4"/>
    <sheet name="Global Food Inflation" sheetId="6" r:id="rId5"/>
    <sheet name="Estimated expenditure growth" sheetId="7" r:id="rId6"/>
    <sheet name="Dining Out Percentage" sheetId="9" r:id="rId7"/>
    <sheet name="Data Type" sheetId="8" r:id="rId8"/>
  </sheets>
  <definedNames>
    <definedName name="ExternalData_1" localSheetId="3" hidden="1">'Average monthly income per year'!$B$3:$M$5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C9" i="5"/>
  <c r="H8" i="9"/>
  <c r="K8" i="9"/>
  <c r="L8" i="9"/>
  <c r="E7" i="9"/>
  <c r="E8" i="9" s="1"/>
  <c r="F7" i="9"/>
  <c r="F8" i="9" s="1"/>
  <c r="G7" i="9"/>
  <c r="G8" i="9" s="1"/>
  <c r="H7" i="9"/>
  <c r="I7" i="9"/>
  <c r="I8" i="9" s="1"/>
  <c r="J7" i="9"/>
  <c r="J8" i="9" s="1"/>
  <c r="K7" i="9"/>
  <c r="L7" i="9"/>
  <c r="M7" i="9"/>
  <c r="M8" i="9" s="1"/>
  <c r="D7" i="9"/>
  <c r="D8" i="9" s="1"/>
  <c r="E7" i="7"/>
  <c r="E8" i="7"/>
  <c r="E9" i="7"/>
  <c r="E10" i="7"/>
  <c r="E11" i="7"/>
  <c r="E12" i="7"/>
  <c r="E13" i="7"/>
  <c r="E14" i="7"/>
  <c r="E15" i="7"/>
  <c r="E6" i="7"/>
  <c r="H9" i="5"/>
  <c r="F11" i="7" s="1" a="1"/>
  <c r="F11" i="7" s="1"/>
  <c r="F7" i="7" a="1"/>
  <c r="F7" i="7" s="1"/>
  <c r="E9" i="5"/>
  <c r="F8" i="7" s="1" a="1"/>
  <c r="F8" i="7" s="1"/>
  <c r="F9" i="5"/>
  <c r="F9" i="7" s="1" a="1"/>
  <c r="F9" i="7" s="1"/>
  <c r="G9" i="5"/>
  <c r="F10" i="7" s="1" a="1"/>
  <c r="F10" i="7" s="1"/>
  <c r="I9" i="5"/>
  <c r="F12" i="7" s="1" a="1"/>
  <c r="F12" i="7" s="1"/>
  <c r="J9" i="5"/>
  <c r="F13" i="7" s="1" a="1"/>
  <c r="F13" i="7" s="1"/>
  <c r="K9" i="5"/>
  <c r="F14" i="7" s="1" a="1"/>
  <c r="F14" i="7" s="1"/>
  <c r="L9" i="5"/>
  <c r="F15" i="7" s="1" a="1"/>
  <c r="F15" i="7" s="1"/>
  <c r="F6" i="7"/>
  <c r="G13" i="7" l="1"/>
  <c r="G8" i="7"/>
  <c r="H8" i="7" s="1"/>
  <c r="G15" i="7"/>
  <c r="H15" i="7" s="1"/>
  <c r="G7" i="7"/>
  <c r="G14" i="7"/>
  <c r="G11" i="7"/>
  <c r="G10" i="7"/>
  <c r="H10" i="7" s="1"/>
  <c r="G9" i="7"/>
  <c r="G12" i="7"/>
  <c r="G6" i="7"/>
  <c r="H7" i="7" l="1"/>
  <c r="H6" i="7"/>
  <c r="H11" i="7"/>
  <c r="H12" i="7"/>
  <c r="H13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0C0BC1-A7E9-4CE1-9410-F0F633F12DE0}" keepAlive="1" name="Query - Global Food Inflation" description="Connection to the 'Global Food Inflation' query in the workbook." type="5" refreshedVersion="8" background="1" saveData="1">
    <dbPr connection="Provider=Microsoft.Mashup.OleDb.1;Data Source=$Workbook$;Location=&quot;Global Food Inflation&quot;;Extended Properties=&quot;&quot;" command="SELECT * FROM [Global Food Inflation]"/>
  </connection>
  <connection id="2" xr16:uid="{0784D6A8-3446-4E38-BC2A-7CE806F68CB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3" xr16:uid="{F5AC405A-433B-4544-B283-9E7EE3B39FB7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4" xr16:uid="{8669D52D-32FF-411D-A975-44593F9DE534}" keepAlive="1" name="Query - Table10" description="Connection to the 'Table10' query in the workbook." type="5" refreshedVersion="8" background="1" saveData="1">
    <dbPr connection="Provider=Microsoft.Mashup.OleDb.1;Data Source=$Workbook$;Location=Table10;Extended Properties=&quot;&quot;" command="SELECT * FROM [Table10]"/>
  </connection>
  <connection id="5" xr16:uid="{F7EC1138-5DD8-466D-AE0E-A8787431F1C6}" keepAlive="1" name="Query - Table13" description="Connection to the 'Table13' query in the workbook." type="5" refreshedVersion="8" background="1" saveData="1">
    <dbPr connection="Provider=Microsoft.Mashup.OleDb.1;Data Source=$Workbook$;Location=Table13;Extended Properties=&quot;&quot;" command="SELECT * FROM [Table1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<sst xmlns="http://schemas.openxmlformats.org/spreadsheetml/2006/main" count="303" uniqueCount="108">
  <si>
    <t>2023</t>
  </si>
  <si>
    <t>2018</t>
  </si>
  <si>
    <t>Food And Non-Alcoholic Beverages</t>
  </si>
  <si>
    <t>Alcoholic Beverages And Tobacco</t>
  </si>
  <si>
    <t>Clothing And Footwear</t>
  </si>
  <si>
    <t>Housing And Utilities</t>
  </si>
  <si>
    <t>Furnishing, Household Equipment And Routine Household Maintenance</t>
  </si>
  <si>
    <t>Health</t>
  </si>
  <si>
    <t>Transport</t>
  </si>
  <si>
    <t>Information And Communication</t>
  </si>
  <si>
    <t>Recreation, Sport And Culture</t>
  </si>
  <si>
    <t>Education</t>
  </si>
  <si>
    <t>Food And Beverage Serving Services</t>
  </si>
  <si>
    <t>Accommodation Services</t>
  </si>
  <si>
    <t>Insurance And Financial Services</t>
  </si>
  <si>
    <t>Personal Care, Social Services And Miscellaneous Goods And Services</t>
  </si>
  <si>
    <t>Non-Assignable Expenditure</t>
  </si>
  <si>
    <t>2014</t>
  </si>
  <si>
    <t>2015</t>
  </si>
  <si>
    <t>2016</t>
  </si>
  <si>
    <t>2017</t>
  </si>
  <si>
    <t>2019</t>
  </si>
  <si>
    <t>2020</t>
  </si>
  <si>
    <t>2021</t>
  </si>
  <si>
    <t>2022</t>
  </si>
  <si>
    <t>2024</t>
  </si>
  <si>
    <t>Year</t>
  </si>
  <si>
    <t>Average</t>
  </si>
  <si>
    <t>Average monthly expenditure</t>
  </si>
  <si>
    <t>Median</t>
  </si>
  <si>
    <t>REF_AREA_LABEL</t>
  </si>
  <si>
    <t>INDICATOR</t>
  </si>
  <si>
    <t>INDICATOR_LABEL</t>
  </si>
  <si>
    <t>UNIT_MEASURE</t>
  </si>
  <si>
    <t>UNIT_MEASURE_LABEL</t>
  </si>
  <si>
    <t>Growth per year</t>
  </si>
  <si>
    <t>Value</t>
  </si>
  <si>
    <t>FAO_CP_23012</t>
  </si>
  <si>
    <t>Consumer Prices, General Indices (2015 = 100)</t>
  </si>
  <si>
    <t>IX</t>
  </si>
  <si>
    <t>Index</t>
  </si>
  <si>
    <t>2015 Growth</t>
  </si>
  <si>
    <t>2016 Growth</t>
  </si>
  <si>
    <t>2017 Growth</t>
  </si>
  <si>
    <t>2018 Growth</t>
  </si>
  <si>
    <t>2019 Growth</t>
  </si>
  <si>
    <t>2020 Growth</t>
  </si>
  <si>
    <t>2021 Growth</t>
  </si>
  <si>
    <t>2022 Growth</t>
  </si>
  <si>
    <t>2023 Growth</t>
  </si>
  <si>
    <t>2024 Growth</t>
  </si>
  <si>
    <t>Singapore</t>
  </si>
  <si>
    <t>Expenditure growth calculation</t>
  </si>
  <si>
    <t>Expenditure growth ≈ CPI growth + α × Income growth</t>
  </si>
  <si>
    <t>Reason</t>
  </si>
  <si>
    <t>Normal pre-COVID behaviour, moderate savings</t>
  </si>
  <si>
    <t>Similar trend to 2015</t>
  </si>
  <si>
    <t>Stable consumption</t>
  </si>
  <si>
    <t>Slight caution as personal saving slightly high</t>
  </si>
  <si>
    <t>Pre-COVID, moderate expenditures</t>
  </si>
  <si>
    <t>Aftershock of COVID, still high savings</t>
  </si>
  <si>
    <t>Gradual reopening, consumption recovered</t>
  </si>
  <si>
    <t>Households spending more but still higher saving</t>
  </si>
  <si>
    <t>Return toward normal, consumption growth rebounds</t>
  </si>
  <si>
    <t>Parameter Value</t>
  </si>
  <si>
    <t>CPI growth</t>
  </si>
  <si>
    <t>Income growth</t>
  </si>
  <si>
    <t>Expenditure growth</t>
  </si>
  <si>
    <t>Estimated monthly expenditure</t>
  </si>
  <si>
    <t>Real</t>
  </si>
  <si>
    <t>Country</t>
  </si>
  <si>
    <t>Entertainment</t>
  </si>
  <si>
    <t>Reading</t>
  </si>
  <si>
    <t>Cash contributions</t>
  </si>
  <si>
    <t>Type of expenditure/ data</t>
  </si>
  <si>
    <t>Data Type</t>
  </si>
  <si>
    <t>Data Acquisition Method</t>
  </si>
  <si>
    <t>Calculated Estimation</t>
  </si>
  <si>
    <t>Real source</t>
  </si>
  <si>
    <t>Average monthly income</t>
  </si>
  <si>
    <t>Total Food Expense</t>
  </si>
  <si>
    <t>Dining out portion from Total Food Expense</t>
  </si>
  <si>
    <t>Table Purpose</t>
  </si>
  <si>
    <t>The table was created to find out the percentage portion of the dining out expense from the total food related expense</t>
  </si>
  <si>
    <t>Average and Median Household Employment Income 2014 -2024</t>
  </si>
  <si>
    <t>Growth Percentage of the Average Income 2015 - 2024</t>
  </si>
  <si>
    <t>The table was created in order to estimate the average monthly income of Singaporeans</t>
  </si>
  <si>
    <t>Table purpose</t>
  </si>
  <si>
    <t>The table is used to estimate the average monthly income of Singaporeans</t>
  </si>
  <si>
    <t>General Inflation Index for Singaporeans Goods and Services</t>
  </si>
  <si>
    <t>Average monthly expenditure per year</t>
  </si>
  <si>
    <t>COVID impact → high savings, weak spending</t>
  </si>
  <si>
    <t>Dining Out Percentage from the Total Food Expense</t>
  </si>
  <si>
    <t>Power BI Import</t>
  </si>
  <si>
    <t>Type of Expenditure</t>
  </si>
  <si>
    <t>Food at home</t>
  </si>
  <si>
    <t>Dining Outside</t>
  </si>
  <si>
    <t>Other Expenditures</t>
  </si>
  <si>
    <t>Coutry</t>
  </si>
  <si>
    <t>Tyoe of Data</t>
  </si>
  <si>
    <t>Income Growth</t>
  </si>
  <si>
    <t>Food at Home Growth</t>
  </si>
  <si>
    <t>Dining Out Growth</t>
  </si>
  <si>
    <t>Food Spending Growth</t>
  </si>
  <si>
    <t xml:space="preserve">Inflation </t>
  </si>
  <si>
    <t>Food Inflation</t>
  </si>
  <si>
    <t>Real Spending Growth</t>
  </si>
  <si>
    <t>Real Income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</si>
</sst>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theme="9"/>
      </left>
      <right/>
      <top style="thin">
        <color theme="9"/>
      </top>
      <bottom style="thin">
        <color theme="4" tint="0.39997558519241921"/>
      </bottom>
      <diagonal/>
    </border>
    <border>
      <left/>
      <right/>
      <top style="thin">
        <color theme="9"/>
      </top>
      <bottom style="thin">
        <color theme="4" tint="0.39997558519241921"/>
      </bottom>
      <diagonal/>
    </border>
    <border>
      <left/>
      <right style="thin">
        <color theme="9"/>
      </right>
      <top style="thin">
        <color theme="9"/>
      </top>
      <bottom style="thin">
        <color theme="4" tint="0.39997558519241921"/>
      </bottom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/>
      <bottom style="thin">
        <color theme="4" tint="0.39997558519241921"/>
      </bottom>
      <diagonal/>
    </border>
    <border>
      <left/>
      <right style="thin">
        <color theme="9"/>
      </right>
      <top/>
      <bottom style="thin">
        <color theme="4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0" fontId="3" fillId="4" borderId="9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2" fillId="3" borderId="11" xfId="0" applyFont="1" applyFill="1" applyBorder="1"/>
    <xf numFmtId="0" fontId="2" fillId="3" borderId="10" xfId="0" applyFont="1" applyFill="1" applyBorder="1"/>
    <xf numFmtId="2" fontId="2" fillId="3" borderId="11" xfId="0" applyNumberFormat="1" applyFont="1" applyFill="1" applyBorder="1"/>
    <xf numFmtId="2" fontId="2" fillId="3" borderId="12" xfId="0" applyNumberFormat="1" applyFont="1" applyFill="1" applyBorder="1"/>
    <xf numFmtId="0" fontId="2" fillId="0" borderId="11" xfId="0" applyFont="1" applyBorder="1"/>
    <xf numFmtId="0" fontId="2" fillId="0" borderId="10" xfId="0" applyFont="1" applyBorder="1"/>
    <xf numFmtId="2" fontId="2" fillId="0" borderId="11" xfId="0" applyNumberFormat="1" applyFont="1" applyBorder="1"/>
    <xf numFmtId="2" fontId="2" fillId="0" borderId="12" xfId="0" applyNumberFormat="1" applyFont="1" applyBorder="1"/>
    <xf numFmtId="2" fontId="2" fillId="3" borderId="6" xfId="0" applyNumberFormat="1" applyFont="1" applyFill="1" applyBorder="1"/>
    <xf numFmtId="2" fontId="2" fillId="3" borderId="13" xfId="0" applyNumberFormat="1" applyFont="1" applyFill="1" applyBorder="1"/>
    <xf numFmtId="0" fontId="4" fillId="0" borderId="10" xfId="0" applyFont="1" applyBorder="1"/>
    <xf numFmtId="2" fontId="2" fillId="0" borderId="1" xfId="0" applyNumberFormat="1" applyFont="1" applyBorder="1"/>
    <xf numFmtId="0" fontId="2" fillId="3" borderId="8" xfId="0" applyFont="1" applyFill="1" applyBorder="1"/>
    <xf numFmtId="10" fontId="2" fillId="3" borderId="14" xfId="0" applyNumberFormat="1" applyFont="1" applyFill="1" applyBorder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3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2" fillId="0" borderId="6" xfId="0" applyFont="1" applyBorder="1"/>
    <xf numFmtId="0" fontId="2" fillId="0" borderId="5" xfId="0" applyFont="1" applyBorder="1"/>
    <xf numFmtId="2" fontId="2" fillId="0" borderId="6" xfId="0" applyNumberFormat="1" applyFont="1" applyBorder="1"/>
    <xf numFmtId="0" fontId="2" fillId="0" borderId="2" xfId="0" applyFont="1" applyBorder="1"/>
    <xf numFmtId="2" fontId="2" fillId="0" borderId="0" xfId="0" applyNumberFormat="1" applyFont="1"/>
    <xf numFmtId="0" fontId="4" fillId="0" borderId="7" xfId="0" applyFont="1" applyBorder="1"/>
    <xf numFmtId="2" fontId="4" fillId="0" borderId="1" xfId="0" applyNumberFormat="1" applyFont="1" applyBorder="1"/>
    <xf numFmtId="0" fontId="3" fillId="4" borderId="0" xfId="0" applyFont="1" applyFill="1"/>
    <xf numFmtId="0" fontId="2" fillId="5" borderId="16" xfId="0" applyFont="1" applyFill="1" applyBorder="1"/>
    <xf numFmtId="0" fontId="2" fillId="0" borderId="16" xfId="0" applyFont="1" applyBorder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7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/>
    </xf>
    <xf numFmtId="2" fontId="2" fillId="3" borderId="4" xfId="0" applyNumberFormat="1" applyFont="1" applyFill="1" applyBorder="1" applyAlignment="1">
      <alignment horizontal="center"/>
    </xf>
    <xf numFmtId="0" fontId="7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2" fillId="6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0" fillId="0" borderId="0" xfId="0" applyNumberFormat="1"/>
    <xf numFmtId="0" fontId="0" fillId="3" borderId="2" xfId="0" applyFill="1" applyBorder="1"/>
    <xf numFmtId="0" fontId="9" fillId="2" borderId="18" xfId="0" applyFont="1" applyFill="1" applyBorder="1"/>
    <xf numFmtId="0" fontId="9" fillId="2" borderId="3" xfId="0" applyFont="1" applyFill="1" applyBorder="1"/>
    <xf numFmtId="0" fontId="0" fillId="3" borderId="18" xfId="0" applyFill="1" applyBorder="1"/>
    <xf numFmtId="10" fontId="0" fillId="3" borderId="3" xfId="0" applyNumberFormat="1" applyFill="1" applyBorder="1"/>
    <xf numFmtId="0" fontId="0" fillId="0" borderId="18" xfId="0" applyBorder="1"/>
    <xf numFmtId="10" fontId="0" fillId="0" borderId="3" xfId="0" applyNumberFormat="1" applyBorder="1"/>
    <xf numFmtId="10" fontId="0" fillId="3" borderId="17" xfId="0" applyNumberFormat="1" applyFill="1" applyBorder="1"/>
    <xf numFmtId="0" fontId="0" fillId="0" borderId="2" xfId="0" applyBorder="1"/>
    <xf numFmtId="10" fontId="0" fillId="0" borderId="17" xfId="0" applyNumberFormat="1" applyBorder="1"/>
    <xf numFmtId="0" fontId="0" fillId="0" borderId="19" xfId="0" applyBorder="1"/>
    <xf numFmtId="10" fontId="0" fillId="0" borderId="0" xfId="0" applyNumberForma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115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9"/>
        </top>
        <bottom style="thin">
          <color theme="4" tint="0.39997558519241921"/>
        </bottom>
      </border>
    </dxf>
    <dxf>
      <border outline="0">
        <left style="thin">
          <color theme="9"/>
        </left>
        <top style="thin">
          <color theme="9"/>
        </top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9" tint="0.39997558519241921"/>
        </top>
        <bottom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9"/>
          <bgColor theme="9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right style="thin">
          <color theme="4" tint="0.3999755851924192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border diagonalUp="0" diagonalDown="0" outline="0">
        <left/>
        <right/>
        <top style="thin">
          <color theme="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" formatCode="0.00"/>
      <border diagonalUp="0" diagonalDown="0" outline="0">
        <left/>
        <right/>
        <top style="thin">
          <color theme="9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 outline="0">
        <left/>
        <right/>
        <top style="thin">
          <color theme="9"/>
        </top>
        <bottom/>
      </border>
    </dxf>
    <dxf>
      <border outline="0">
        <left style="thin">
          <color theme="9"/>
        </left>
        <right style="thin">
          <color theme="9"/>
        </right>
        <top style="thin">
          <color theme="9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9"/>
          <bgColor theme="9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E9197D3-3506-4BFA-B1D1-6904C74C4341}" autoFormatId="16" applyNumberFormats="0" applyBorderFormats="0" applyFontFormats="0" applyPatternFormats="0" applyAlignmentFormats="0" applyWidthHeightFormats="0">
  <queryTableRefresh nextId="27">
    <queryTableFields count="12">
      <queryTableField id="1" name="Year" tableColumnId="1"/>
      <queryTableField id="16" name="2014" tableColumnId="16"/>
      <queryTableField id="17" name="2015" tableColumnId="17"/>
      <queryTableField id="18" name="2016" tableColumnId="18"/>
      <queryTableField id="19" name="2017" tableColumnId="19"/>
      <queryTableField id="20" name="2018" tableColumnId="20"/>
      <queryTableField id="21" name="2019" tableColumnId="21"/>
      <queryTableField id="22" name="2020" tableColumnId="22"/>
      <queryTableField id="23" name="2021" tableColumnId="23"/>
      <queryTableField id="24" name="2022" tableColumnId="24"/>
      <queryTableField id="25" name="2023" tableColumnId="25"/>
      <queryTableField id="26" name="2024" tableColumnId="26"/>
    </queryTableFields>
    <queryTableDeletedFields count="14">
      <deletedField name="2000"/>
      <deletedField name="2001"/>
      <deletedField name="2002"/>
      <deletedField name="2003"/>
      <deletedField name="2004"/>
      <deletedField name="2005"/>
      <deletedField name="2006"/>
      <deletedField name="2007"/>
      <deletedField name="2008"/>
      <deletedField name="2009"/>
      <deletedField name="2010"/>
      <deletedField name="2011"/>
      <deletedField name="2012"/>
      <deletedField name="2013"/>
    </queryTableDeleted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0B91D-BA53-429E-B650-7B9F842A3154}" name="Table1" displayName="Table1" ref="B3:M21" totalsRowShown="0" headerRowDxfId="100" dataDxfId="99" tableBorderDxfId="98">
  <autoFilter ref="B3:M21" xr:uid="{B580B91D-BA53-429E-B650-7B9F842A3154}"/>
  <tableColumns count="12">
    <tableColumn id="1" xr3:uid="{1EC5AC4F-7874-43B3-A125-03DBD49C54AC}" name="Country" dataDxfId="97"/>
    <tableColumn id="2" xr3:uid="{BFFAB26E-0E02-405C-906F-6041DED128A1}" name="Type of expenditure/ data" dataDxfId="96"/>
    <tableColumn id="3" xr3:uid="{FB285517-1C77-44D6-AB23-6D4ECC58DD7B}" name="2015" dataDxfId="95"/>
    <tableColumn id="4" xr3:uid="{3784ACBC-DC31-4E6B-9F1A-EFE822281DCE}" name="2016" dataDxfId="94"/>
    <tableColumn id="5" xr3:uid="{0E56797C-8F9C-4132-B0C0-890AC9B99416}" name="2017" dataDxfId="93"/>
    <tableColumn id="6" xr3:uid="{9F1DA9EB-1DE1-4B8C-84A4-5112447128B3}" name="2018" dataDxfId="92"/>
    <tableColumn id="7" xr3:uid="{79B724F3-F3C0-4EBC-BDDA-4A109F83BDFA}" name="2019" dataDxfId="91"/>
    <tableColumn id="8" xr3:uid="{793A16FA-A9C1-4EBD-B58A-98B9415432F5}" name="2020" dataDxfId="90"/>
    <tableColumn id="9" xr3:uid="{8BC61902-1AF9-43B8-9AD4-261CC3FF7B00}" name="2021" dataDxfId="89"/>
    <tableColumn id="10" xr3:uid="{9923BA07-93B5-4EE0-8C2A-A414726FCCAD}" name="2022" dataDxfId="88"/>
    <tableColumn id="11" xr3:uid="{3311C278-8A39-439E-9D23-8FFA0583D47E}" name="2023" dataDxfId="87"/>
    <tableColumn id="12" xr3:uid="{2A83443B-47FE-4F4B-84C6-D38731C26D0D}" name="2024" dataDxfId="8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FEFB451-4FEE-4A19-BA27-C2BC501F2342}" name="Table7" displayName="Table7" ref="B2:L5" totalsRowShown="0">
  <autoFilter ref="B2:L5" xr:uid="{4FEFB451-4FEE-4A19-BA27-C2BC501F2342}"/>
  <tableColumns count="11">
    <tableColumn id="1" xr3:uid="{C8AA0414-2898-4FD6-A531-4C4308E68748}" name="Type of Expenditure"/>
    <tableColumn id="2" xr3:uid="{FC3D0AE4-1D5B-4262-B9C7-4DB2CF30F3D8}" name="2015" dataDxfId="85"/>
    <tableColumn id="3" xr3:uid="{35D74E1E-2E23-4526-A171-27A7FF1E41BE}" name="2016" dataDxfId="84"/>
    <tableColumn id="4" xr3:uid="{F423909A-A134-4401-B6F6-6D3578DDCFD5}" name="2017" dataDxfId="83"/>
    <tableColumn id="5" xr3:uid="{3327740A-9844-434B-AD7D-746AE9FD9775}" name="2018" dataDxfId="82"/>
    <tableColumn id="6" xr3:uid="{DB96F0A6-D2F4-44BF-B7DA-3CC97EEF7B5D}" name="2019" dataDxfId="81"/>
    <tableColumn id="7" xr3:uid="{E0D17029-1150-445A-80B0-3D4D9E4DCA01}" name="2020" dataDxfId="80"/>
    <tableColumn id="8" xr3:uid="{8CB5D131-BFF7-49F9-A8FC-A651342E3DE4}" name="2021" dataDxfId="79"/>
    <tableColumn id="9" xr3:uid="{7D9D9BF3-D5F1-4D9C-8F52-4FFC211BD394}" name="2022" dataDxfId="78"/>
    <tableColumn id="10" xr3:uid="{5031A11C-FA78-42FB-919A-573EB69BBC10}" name="2023" dataDxfId="77"/>
    <tableColumn id="11" xr3:uid="{A95E1EC7-9C3D-4090-9AE1-55E0EF32E0B8}" name="2024" dataDxfId="7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1E50511-12E8-4D3B-9CC3-5CD389AD9D4B}" name="Table9" displayName="Table9" ref="B9:M12" totalsRowShown="0" headerRowDxfId="75" tableBorderDxfId="74">
  <autoFilter ref="B9:M12" xr:uid="{11E50511-12E8-4D3B-9CC3-5CD389AD9D4B}"/>
  <tableColumns count="12">
    <tableColumn id="1" xr3:uid="{E0AB75B4-C5D8-43C4-B84F-3B212FF42F96}" name="Coutry"/>
    <tableColumn id="2" xr3:uid="{71E5DCD3-BF80-4B46-BEC8-3D55F4D76E19}" name="Type of Expenditure"/>
    <tableColumn id="3" xr3:uid="{8FF8B1E9-2A66-4B94-8C51-FB22DADC3E64}" name="2015"/>
    <tableColumn id="4" xr3:uid="{7B9CEA87-85DC-4C2C-A8ED-C8E580259CF3}" name="2016"/>
    <tableColumn id="5" xr3:uid="{941977A3-10E3-470A-AE2A-5F8FB8A730AF}" name="2017"/>
    <tableColumn id="6" xr3:uid="{1BA6AE2F-F836-426A-8C7C-F521D6CC6791}" name="2018"/>
    <tableColumn id="7" xr3:uid="{C6999938-98AF-4B95-8E66-406EC1E7010C}" name="2019"/>
    <tableColumn id="8" xr3:uid="{73CB5311-3FB7-4990-90BC-103ECC07DEC1}" name="2020"/>
    <tableColumn id="9" xr3:uid="{138D8B6C-52B0-4659-929E-24CFDD51F76D}" name="2021"/>
    <tableColumn id="10" xr3:uid="{474AFEF3-374F-4EA5-8223-2CFC891A4CBD}" name="2022"/>
    <tableColumn id="11" xr3:uid="{FD0D03AA-652C-4B14-A9C4-EC6980DCD099}" name="2023"/>
    <tableColumn id="12" xr3:uid="{F09AFC48-DA03-4E3D-AA20-A17882D53DDF}" name="20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D1E9208-3713-421C-8720-40BEAEE4603D}" name="Table11" displayName="Table11" ref="B2:M10" totalsRowShown="0" headerRowDxfId="114" dataDxfId="113" tableBorderDxfId="112">
  <autoFilter ref="B2:M10" xr:uid="{BD1E9208-3713-421C-8720-40BEAEE4603D}"/>
  <tableColumns count="12">
    <tableColumn id="1" xr3:uid="{A54EC52C-57AC-4B9B-A17E-254AD0FECE46}" name="Country"/>
    <tableColumn id="2" xr3:uid="{9D546B6D-1BA8-4572-9FFC-76A7B21A20E3}" name="Tyoe of Data" dataDxfId="111"/>
    <tableColumn id="3" xr3:uid="{0E6E8A7C-8A21-4239-8D64-D0BE53B1347C}" name="2015" dataDxfId="110"/>
    <tableColumn id="4" xr3:uid="{C0753B09-1D94-4404-89E2-C7D394930302}" name="2016" dataDxfId="109"/>
    <tableColumn id="5" xr3:uid="{765A992C-0B73-4AAC-A8CD-28AFCCA8E6EC}" name="2017" dataDxfId="108"/>
    <tableColumn id="6" xr3:uid="{C2A7FAB1-911B-4179-90A9-907581DD5E81}" name="2018" dataDxfId="107"/>
    <tableColumn id="7" xr3:uid="{2CD059E7-8D26-4D6B-AFA5-722490DD39DA}" name="2019" dataDxfId="106"/>
    <tableColumn id="8" xr3:uid="{CFAAE1C5-939A-4805-858D-E9EE0E32D08E}" name="2020" dataDxfId="105"/>
    <tableColumn id="9" xr3:uid="{643F5E59-171E-49CB-817A-FCBCA93E5B15}" name="2021" dataDxfId="104"/>
    <tableColumn id="10" xr3:uid="{19F06651-3EC0-4A00-ABFC-A5DB3F81629B}" name="2022" dataDxfId="103"/>
    <tableColumn id="11" xr3:uid="{7545C349-0D3E-439D-9D0A-8458B089EA86}" name="2023" dataDxfId="102"/>
    <tableColumn id="12" xr3:uid="{FB43D416-C26C-4DCA-BA01-A3A2DF0DC787}" name="2024" dataDxfId="10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3FDDCB7-65A5-4BB9-9220-3F6843716D53}" name="Table10" displayName="Table10" ref="B3:M5" tableType="queryTable" totalsRowShown="0" headerRowDxfId="73" dataDxfId="72">
  <autoFilter ref="B3:M5" xr:uid="{C3FDDCB7-65A5-4BB9-9220-3F6843716D53}"/>
  <tableColumns count="12">
    <tableColumn id="1" xr3:uid="{DFD6FB3E-6BF4-4F3A-A63A-E058271AE34A}" uniqueName="1" name="Year" queryTableFieldId="1" dataDxfId="71"/>
    <tableColumn id="16" xr3:uid="{14FE4773-3E84-431F-AEE5-1420D81F1AD7}" uniqueName="16" name="2014" queryTableFieldId="16" dataDxfId="70"/>
    <tableColumn id="17" xr3:uid="{AC0CF2F5-F292-4412-A69D-2A89668FA811}" uniqueName="17" name="2015" queryTableFieldId="17" dataDxfId="69"/>
    <tableColumn id="18" xr3:uid="{55BF3E8C-8DFD-4472-9793-103A4BC0C327}" uniqueName="18" name="2016" queryTableFieldId="18" dataDxfId="68"/>
    <tableColumn id="19" xr3:uid="{DEFB5C65-B2C6-4057-9F38-78BA29F1FF40}" uniqueName="19" name="2017" queryTableFieldId="19" dataDxfId="67"/>
    <tableColumn id="20" xr3:uid="{C3FC9CA6-AF92-44A3-80DD-266C26C03741}" uniqueName="20" name="2018" queryTableFieldId="20" dataDxfId="66"/>
    <tableColumn id="21" xr3:uid="{656476D9-A870-45F1-8B01-EC1A99FF7627}" uniqueName="21" name="2019" queryTableFieldId="21" dataDxfId="65"/>
    <tableColumn id="22" xr3:uid="{503CD6F8-DEB7-4596-9ACA-C13656883920}" uniqueName="22" name="2020" queryTableFieldId="22" dataDxfId="64"/>
    <tableColumn id="23" xr3:uid="{570D3573-A02A-41A3-AEB3-175721101469}" uniqueName="23" name="2021" queryTableFieldId="23" dataDxfId="63"/>
    <tableColumn id="24" xr3:uid="{7C4F4421-B314-42EC-B133-85519B025B44}" uniqueName="24" name="2022" queryTableFieldId="24" dataDxfId="62"/>
    <tableColumn id="25" xr3:uid="{13795E6D-E5C7-4563-8ECD-9951D9D290C5}" uniqueName="25" name="2023" queryTableFieldId="25" dataDxfId="61"/>
    <tableColumn id="26" xr3:uid="{D3FF38A2-4153-499A-BF21-38A60F1B5525}" uniqueName="26" name="2024" queryTableFieldId="26" dataDxfId="6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F4BB61-04AA-4900-9E0A-082DB836C9BF}" name="Table4" displayName="Table4" ref="B8:L9" totalsRowShown="0" headerRowDxfId="59" dataDxfId="58" tableBorderDxfId="57">
  <autoFilter ref="B8:L9" xr:uid="{E1F4BB61-04AA-4900-9E0A-082DB836C9BF}"/>
  <tableColumns count="11">
    <tableColumn id="1" xr3:uid="{BB8BD6D7-53CD-4BC3-B989-CEF5D69AFB52}" name="Year" dataDxfId="56"/>
    <tableColumn id="2" xr3:uid="{D0FD0292-2D39-42E5-B582-E71FA8BB10D1}" name="2015" dataDxfId="55">
      <calculatedColumnFormula>(D4-C4)/C4</calculatedColumnFormula>
    </tableColumn>
    <tableColumn id="3" xr3:uid="{CA338C20-4263-4E75-AAD4-D11E8D19C920}" name="2016" dataDxfId="54">
      <calculatedColumnFormula>(E4-D4)/D4</calculatedColumnFormula>
    </tableColumn>
    <tableColumn id="4" xr3:uid="{70193156-3F63-4D00-9599-6CE26FA15B32}" name="2017" dataDxfId="53">
      <calculatedColumnFormula>(F4-E4)/E4</calculatedColumnFormula>
    </tableColumn>
    <tableColumn id="5" xr3:uid="{C877CECB-D042-43FD-A527-CD312745F9B7}" name="2018" dataDxfId="52">
      <calculatedColumnFormula>(G4-F4)/F4</calculatedColumnFormula>
    </tableColumn>
    <tableColumn id="6" xr3:uid="{FA44D971-5177-4B57-9ACC-DB882C0F0AD5}" name="2019" dataDxfId="51">
      <calculatedColumnFormula>(H4-G4)/G4</calculatedColumnFormula>
    </tableColumn>
    <tableColumn id="7" xr3:uid="{DACB31EB-904B-4C5B-967C-96BA42D78139}" name="2020" dataDxfId="50">
      <calculatedColumnFormula>(I4-H4)/H4</calculatedColumnFormula>
    </tableColumn>
    <tableColumn id="8" xr3:uid="{47B4F972-FBC3-4254-80AD-07396C21227B}" name="2021" dataDxfId="49">
      <calculatedColumnFormula>(J4-I4)/I4</calculatedColumnFormula>
    </tableColumn>
    <tableColumn id="9" xr3:uid="{A309E90C-FAAC-4096-A499-E34B6974FD25}" name="2022" dataDxfId="48">
      <calculatedColumnFormula>(K4-J4)/J4</calculatedColumnFormula>
    </tableColumn>
    <tableColumn id="10" xr3:uid="{B14905D5-7680-4827-827B-E6FB916B74E6}" name="2023" dataDxfId="47">
      <calculatedColumnFormula>(L4-K4)/K4</calculatedColumnFormula>
    </tableColumn>
    <tableColumn id="11" xr3:uid="{C9676F92-6E50-4DFE-AF59-63E65400728D}" name="2024" dataDxfId="46">
      <calculatedColumnFormula>(M4-L4)/L4</calculatedColumnFormula>
    </tableColumn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8DAB8E8-0289-49E0-B7CE-12140F8BA17F}" name="Table5" displayName="Table5" ref="B3:S13" totalsRowShown="0" headerRowDxfId="45" dataDxfId="44" tableBorderDxfId="43">
  <autoFilter ref="B3:S13" xr:uid="{08DAB8E8-0289-49E0-B7CE-12140F8BA17F}"/>
  <tableColumns count="18">
    <tableColumn id="1" xr3:uid="{37D72C8B-4C36-4892-86AE-871349559927}" name="REF_AREA_LABEL" dataDxfId="42"/>
    <tableColumn id="2" xr3:uid="{2D489A26-B61F-4F2B-950B-20149095D368}" name="INDICATOR" dataDxfId="41"/>
    <tableColumn id="3" xr3:uid="{A5A07A13-0799-4F53-A659-20DDFE173678}" name="INDICATOR_LABEL" dataDxfId="40"/>
    <tableColumn id="4" xr3:uid="{F1F9ED1E-BF24-417A-BB73-F232F940F71F}" name="UNIT_MEASURE" dataDxfId="39"/>
    <tableColumn id="5" xr3:uid="{CD7C2C0C-F8EA-40CA-973E-7340E840592C}" name="UNIT_MEASURE_LABEL" dataDxfId="38"/>
    <tableColumn id="6" xr3:uid="{27EBE267-6EC3-4D20-B3E4-D51B964CEC65}" name="2014" dataDxfId="37"/>
    <tableColumn id="7" xr3:uid="{09570668-B9F0-4BA7-AA60-3D9946153BDA}" name="2015" dataDxfId="36"/>
    <tableColumn id="8" xr3:uid="{EDF11410-48E1-4217-94F9-5E2FF95C5845}" name="2016" dataDxfId="35"/>
    <tableColumn id="9" xr3:uid="{F152DDB2-8DAB-4369-8370-58A3B0AF48D0}" name="2017" dataDxfId="34"/>
    <tableColumn id="10" xr3:uid="{EEDE6870-3EDE-4292-9CDD-9E07833C34E2}" name="2018" dataDxfId="33"/>
    <tableColumn id="11" xr3:uid="{3D472B7D-A47D-48D5-A462-7FFDE5A6A55A}" name="2019" dataDxfId="32"/>
    <tableColumn id="12" xr3:uid="{A22BB0FF-A0BD-4FA1-B4F0-9A71BF2D1984}" name="2020" dataDxfId="31"/>
    <tableColumn id="13" xr3:uid="{E3B693B7-B66F-4A01-8C99-0DD23CBD678C}" name="2021" dataDxfId="30"/>
    <tableColumn id="14" xr3:uid="{38F3A346-0086-44C6-A5DD-D9894D6414D7}" name="2022" dataDxfId="29"/>
    <tableColumn id="15" xr3:uid="{FEB84BEB-D7D5-498C-9E8F-43A12E889CA8}" name="2023" dataDxfId="28"/>
    <tableColumn id="16" xr3:uid="{AD888964-820D-4D26-B2DB-C92ED906A884}" name="2024" dataDxfId="27"/>
    <tableColumn id="17" xr3:uid="{2646E732-8C36-4578-ADA8-3EBC67900FD1}" name="Growth per year" dataDxfId="26"/>
    <tableColumn id="18" xr3:uid="{B53BA8C4-9F0C-4F02-B630-D045B15A1789}" name="Value" dataDxfId="2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E792E5-2D96-42B1-9762-D60D49FF0D76}" name="Table6" displayName="Table6" ref="B5:H15" totalsRowShown="0" headerRowDxfId="24" tableBorderDxfId="23">
  <autoFilter ref="B5:H15" xr:uid="{24E792E5-2D96-42B1-9762-D60D49FF0D76}"/>
  <tableColumns count="7">
    <tableColumn id="1" xr3:uid="{C7B8715D-02E9-4BE6-8D4C-7666CB507AC2}" name="Year" dataDxfId="22"/>
    <tableColumn id="2" xr3:uid="{7726EFF3-C1A1-4EA6-891A-89113AD99820}" name="Reason"/>
    <tableColumn id="3" xr3:uid="{1C121D90-DEE1-445F-8DFE-4329AAA24AD7}" name="Parameter Value"/>
    <tableColumn id="4" xr3:uid="{EA4D7EF1-D87A-42BD-9AEB-EDC81C5A4630}" name="CPI growth">
      <calculatedColumnFormula>'Global Food Inflation'!S4/100</calculatedColumnFormula>
    </tableColumn>
    <tableColumn id="5" xr3:uid="{62BEB838-C02C-430E-8F7E-136E996C40A2}" name="Income growth"/>
    <tableColumn id="6" xr3:uid="{BAF7AC4E-3299-436E-BA66-EC04B69DB49F}" name="Expenditure growth">
      <calculatedColumnFormula>E6+D6*F6</calculatedColumnFormula>
    </tableColumn>
    <tableColumn id="7" xr3:uid="{7D61A5C6-4C83-4FC1-98E5-3D1FECBE7150}" name="Estimated monthly expenditu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34DE82-6E3E-49DB-AB81-9A00BC7D4895}" name="Table3" displayName="Table3" ref="B3:M8" totalsRowShown="0" headerRowDxfId="21" dataDxfId="19" headerRowBorderDxfId="20" tableBorderDxfId="18">
  <autoFilter ref="B3:M8" xr:uid="{D634DE82-6E3E-49DB-AB81-9A00BC7D4895}"/>
  <tableColumns count="12">
    <tableColumn id="1" xr3:uid="{91980C40-8EA3-4F73-85A3-35E22ACCCBE2}" name="Country" dataDxfId="17"/>
    <tableColumn id="2" xr3:uid="{678AF5F8-53A1-41DD-9135-BEE4E64694A1}" name="Type of expenditure/ data" dataDxfId="16"/>
    <tableColumn id="3" xr3:uid="{C65504A7-A687-4FDD-A57B-5B5D93B74886}" name="2015" dataDxfId="15"/>
    <tableColumn id="4" xr3:uid="{D314D8CF-734A-4FD1-AFD1-53962B56F1CC}" name="2016" dataDxfId="14"/>
    <tableColumn id="5" xr3:uid="{922F29B2-7AD0-4B22-BD12-DA9FDF0E7ADA}" name="2017" dataDxfId="13"/>
    <tableColumn id="6" xr3:uid="{3BD2FF5B-08EB-442B-A389-9EE00AA86D23}" name="2018" dataDxfId="12"/>
    <tableColumn id="7" xr3:uid="{4DE4DA6A-2BA0-43E8-A7DA-B6FF277B0AFA}" name="2019" dataDxfId="11"/>
    <tableColumn id="8" xr3:uid="{905B93B1-A9A2-4040-A8B9-652881748CF5}" name="2020" dataDxfId="10"/>
    <tableColumn id="9" xr3:uid="{69D1F6C5-BD3D-42D5-9715-44321AB714AB}" name="2021" dataDxfId="9"/>
    <tableColumn id="10" xr3:uid="{6DE1EEB1-686C-47AE-8CFA-45513E8A5B95}" name="2022" dataDxfId="8"/>
    <tableColumn id="11" xr3:uid="{8D67D804-2C66-473F-B552-1E77B1ADE012}" name="2023" dataDxfId="7"/>
    <tableColumn id="12" xr3:uid="{E6D8DED1-8BC9-425A-8836-B4E2013236B6}" name="2024" dataDxfId="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0A2D26-F24D-49E6-A244-6F8544A29A19}" name="Table13" displayName="Table13" ref="B2:E12" totalsRowShown="0" headerRowDxfId="5" dataDxfId="4">
  <autoFilter ref="B2:E12" xr:uid="{F30A2D26-F24D-49E6-A244-6F8544A29A19}"/>
  <tableColumns count="4">
    <tableColumn id="1" xr3:uid="{0FB91481-E089-4DBA-B3BB-13511A3EC176}" name="Country" dataDxfId="3"/>
    <tableColumn id="2" xr3:uid="{E6C0D9B3-977F-47B6-8DB3-108BA234D2FB}" name="Data Type" dataDxfId="2"/>
    <tableColumn id="3" xr3:uid="{04ED2809-66A7-4C3B-8B2E-15485091E171}" name="Year" dataDxfId="1"/>
    <tableColumn id="4" xr3:uid="{62F7798F-1D8F-4ED3-A651-12D9AD3065BB}" name="Data Acquisition Metho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F41F0-2925-40D3-91EB-B1FC48C8A903}">
  <dimension ref="A1:M24"/>
  <sheetViews>
    <sheetView topLeftCell="B1" workbookViewId="0">
      <selection activeCell="F5" sqref="F5"/>
    </sheetView>
  </sheetViews>
  <sheetFormatPr defaultRowHeight="14.5" x14ac:dyDescent="0.35"/>
  <cols>
    <col min="1" max="1" width="14.453125" style="1" bestFit="1" customWidth="1"/>
    <col min="2" max="2" width="9.453125" style="1" customWidth="1"/>
    <col min="3" max="3" width="58.7265625" style="1" bestFit="1" customWidth="1"/>
    <col min="4" max="6" width="9.36328125" style="1" bestFit="1" customWidth="1"/>
    <col min="7" max="11" width="9.36328125" style="1" customWidth="1"/>
    <col min="12" max="13" width="9.36328125" style="1" bestFit="1" customWidth="1"/>
    <col min="14" max="14" width="36.08984375" style="1" bestFit="1" customWidth="1"/>
    <col min="15" max="16384" width="8.7265625" style="1"/>
  </cols>
  <sheetData>
    <row r="1" spans="1:13" x14ac:dyDescent="0.35">
      <c r="A1" s="52" t="s">
        <v>93</v>
      </c>
    </row>
    <row r="2" spans="1:13" x14ac:dyDescent="0.35">
      <c r="B2" s="26" t="s">
        <v>90</v>
      </c>
    </row>
    <row r="3" spans="1:13" s="27" customFormat="1" x14ac:dyDescent="0.35">
      <c r="B3" s="28" t="s">
        <v>70</v>
      </c>
      <c r="C3" s="29" t="s">
        <v>74</v>
      </c>
      <c r="D3" s="28" t="s">
        <v>18</v>
      </c>
      <c r="E3" s="28" t="s">
        <v>19</v>
      </c>
      <c r="F3" s="28" t="s">
        <v>20</v>
      </c>
      <c r="G3" s="28" t="s">
        <v>1</v>
      </c>
      <c r="H3" s="28" t="s">
        <v>21</v>
      </c>
      <c r="I3" s="28" t="s">
        <v>22</v>
      </c>
      <c r="J3" s="28" t="s">
        <v>23</v>
      </c>
      <c r="K3" s="28" t="s">
        <v>24</v>
      </c>
      <c r="L3" s="28" t="s">
        <v>0</v>
      </c>
      <c r="M3" s="28" t="s">
        <v>25</v>
      </c>
    </row>
    <row r="4" spans="1:13" x14ac:dyDescent="0.35">
      <c r="B4" s="30" t="s">
        <v>51</v>
      </c>
      <c r="C4" s="31" t="s">
        <v>2</v>
      </c>
      <c r="D4" s="32">
        <v>132.3211369556214</v>
      </c>
      <c r="E4" s="32">
        <v>134.90161168556241</v>
      </c>
      <c r="F4" s="32">
        <v>134.90161890644825</v>
      </c>
      <c r="G4" s="32">
        <v>134.9</v>
      </c>
      <c r="H4" s="32">
        <v>153.21893166785199</v>
      </c>
      <c r="I4" s="32">
        <v>152.39808344618734</v>
      </c>
      <c r="J4" s="32">
        <v>156.13799593910801</v>
      </c>
      <c r="K4" s="32">
        <v>172.18066371951863</v>
      </c>
      <c r="L4" s="32">
        <v>167.3</v>
      </c>
      <c r="M4" s="32">
        <v>176.19832957873624</v>
      </c>
    </row>
    <row r="5" spans="1:13" x14ac:dyDescent="0.35">
      <c r="B5" s="30" t="s">
        <v>51</v>
      </c>
      <c r="C5" s="31" t="s">
        <v>3</v>
      </c>
      <c r="D5" s="32">
        <v>25.601050218989762</v>
      </c>
      <c r="E5" s="32">
        <v>26.100311823522457</v>
      </c>
      <c r="F5" s="32">
        <v>26.100313220595254</v>
      </c>
      <c r="G5" s="32">
        <v>26.1</v>
      </c>
      <c r="H5" s="32">
        <v>19.232501882993969</v>
      </c>
      <c r="I5" s="32">
        <v>19.129466541362422</v>
      </c>
      <c r="J5" s="32">
        <v>19.598911624155814</v>
      </c>
      <c r="K5" s="32">
        <v>21.612635613328695</v>
      </c>
      <c r="L5" s="32">
        <v>21</v>
      </c>
      <c r="M5" s="32">
        <v>22.116945135406219</v>
      </c>
    </row>
    <row r="6" spans="1:13" x14ac:dyDescent="0.35">
      <c r="B6" s="30" t="s">
        <v>51</v>
      </c>
      <c r="C6" s="31" t="s">
        <v>12</v>
      </c>
      <c r="D6" s="32">
        <v>365.37897343194197</v>
      </c>
      <c r="E6" s="32">
        <v>372.5044503548703</v>
      </c>
      <c r="F6" s="32">
        <v>372.50447029393609</v>
      </c>
      <c r="G6" s="32">
        <v>372.5</v>
      </c>
      <c r="H6" s="32">
        <v>375.67487011448225</v>
      </c>
      <c r="I6" s="32">
        <v>373.66224644127942</v>
      </c>
      <c r="J6" s="32">
        <v>382.832073725177</v>
      </c>
      <c r="K6" s="32">
        <v>422.16681564702054</v>
      </c>
      <c r="L6" s="32">
        <v>410.2</v>
      </c>
      <c r="M6" s="32">
        <v>432.01766164493483</v>
      </c>
    </row>
    <row r="7" spans="1:13" x14ac:dyDescent="0.35">
      <c r="B7" s="30" t="s">
        <v>51</v>
      </c>
      <c r="C7" s="31" t="s">
        <v>4</v>
      </c>
      <c r="D7" s="32">
        <v>58.362547434095433</v>
      </c>
      <c r="E7" s="32">
        <v>59.500710862053111</v>
      </c>
      <c r="F7" s="32">
        <v>59.500714046950861</v>
      </c>
      <c r="G7" s="32">
        <v>59.5</v>
      </c>
      <c r="H7" s="32">
        <v>34.710086731689117</v>
      </c>
      <c r="I7" s="32">
        <v>34.524132472268377</v>
      </c>
      <c r="J7" s="32">
        <v>35.371369074071687</v>
      </c>
      <c r="K7" s="32">
        <v>39.005661416436077</v>
      </c>
      <c r="L7" s="32">
        <v>37.9</v>
      </c>
      <c r="M7" s="32">
        <v>39.915820030090273</v>
      </c>
    </row>
    <row r="8" spans="1:13" x14ac:dyDescent="0.35">
      <c r="B8" s="30" t="s">
        <v>51</v>
      </c>
      <c r="C8" s="31" t="s">
        <v>5</v>
      </c>
      <c r="D8" s="32">
        <v>1036.1068715064707</v>
      </c>
      <c r="E8" s="32">
        <v>1056.3126198922134</v>
      </c>
      <c r="F8" s="32">
        <v>1056.3126764335159</v>
      </c>
      <c r="G8" s="32">
        <v>1056.3</v>
      </c>
      <c r="H8" s="32">
        <v>1088.1016898659591</v>
      </c>
      <c r="I8" s="32">
        <v>1082.2723427520334</v>
      </c>
      <c r="J8" s="32">
        <v>1108.8317571742632</v>
      </c>
      <c r="K8" s="32">
        <v>1222.7605891521821</v>
      </c>
      <c r="L8" s="32">
        <v>1188.0999999999999</v>
      </c>
      <c r="M8" s="32">
        <v>1251.2925007321965</v>
      </c>
    </row>
    <row r="9" spans="1:13" x14ac:dyDescent="0.35">
      <c r="B9" s="30" t="s">
        <v>51</v>
      </c>
      <c r="C9" s="31" t="s">
        <v>6</v>
      </c>
      <c r="D9" s="32">
        <v>97.107431865133577</v>
      </c>
      <c r="E9" s="32">
        <v>99.001182778878288</v>
      </c>
      <c r="F9" s="32">
        <v>99.00118807811991</v>
      </c>
      <c r="G9" s="32">
        <v>99</v>
      </c>
      <c r="H9" s="32">
        <v>109.80842741766558</v>
      </c>
      <c r="I9" s="32">
        <v>109.22014468139785</v>
      </c>
      <c r="J9" s="32">
        <v>111.9004525588706</v>
      </c>
      <c r="K9" s="32">
        <v>123.39785762086242</v>
      </c>
      <c r="L9" s="32">
        <v>119.9</v>
      </c>
      <c r="M9" s="32">
        <v>126.27722484453361</v>
      </c>
    </row>
    <row r="10" spans="1:13" x14ac:dyDescent="0.35">
      <c r="B10" s="30" t="s">
        <v>51</v>
      </c>
      <c r="C10" s="31" t="s">
        <v>7</v>
      </c>
      <c r="D10" s="32">
        <v>129.08422256011698</v>
      </c>
      <c r="E10" s="32">
        <v>131.60157225959983</v>
      </c>
      <c r="F10" s="32">
        <v>131.60157930384426</v>
      </c>
      <c r="G10" s="32">
        <v>131.6</v>
      </c>
      <c r="H10" s="32">
        <v>216.68618788173205</v>
      </c>
      <c r="I10" s="32">
        <v>215.5253230326833</v>
      </c>
      <c r="J10" s="32">
        <v>220.81440429882218</v>
      </c>
      <c r="K10" s="32">
        <v>243.50236124350329</v>
      </c>
      <c r="L10" s="32">
        <v>236.6</v>
      </c>
      <c r="M10" s="32">
        <v>249.18424852557672</v>
      </c>
    </row>
    <row r="11" spans="1:13" x14ac:dyDescent="0.35">
      <c r="B11" s="30" t="s">
        <v>51</v>
      </c>
      <c r="C11" s="31" t="s">
        <v>8</v>
      </c>
      <c r="D11" s="32">
        <v>318.10040559457394</v>
      </c>
      <c r="E11" s="32">
        <v>324.303874496871</v>
      </c>
      <c r="F11" s="32">
        <v>324.30389185590195</v>
      </c>
      <c r="G11" s="32">
        <v>324.3</v>
      </c>
      <c r="H11" s="32">
        <v>286.74744474121013</v>
      </c>
      <c r="I11" s="32">
        <v>285.21123686193221</v>
      </c>
      <c r="J11" s="32">
        <v>292.21043950110413</v>
      </c>
      <c r="K11" s="32">
        <v>322.23410526348641</v>
      </c>
      <c r="L11" s="32">
        <v>313.10000000000002</v>
      </c>
      <c r="M11" s="32">
        <v>329.75312009027084</v>
      </c>
    </row>
    <row r="12" spans="1:13" x14ac:dyDescent="0.35">
      <c r="B12" s="30" t="s">
        <v>51</v>
      </c>
      <c r="C12" s="31" t="s">
        <v>9</v>
      </c>
      <c r="D12" s="32">
        <v>124.67024838442907</v>
      </c>
      <c r="E12" s="32">
        <v>127.10151849692355</v>
      </c>
      <c r="F12" s="32">
        <v>127.10152530029336</v>
      </c>
      <c r="G12" s="32">
        <v>127.1</v>
      </c>
      <c r="H12" s="32">
        <v>113.47176110966443</v>
      </c>
      <c r="I12" s="32">
        <v>112.86385259403832</v>
      </c>
      <c r="J12" s="32">
        <v>115.63357858251932</v>
      </c>
      <c r="K12" s="32">
        <v>127.51455011863931</v>
      </c>
      <c r="L12" s="32">
        <v>123.9</v>
      </c>
      <c r="M12" s="32">
        <v>130.48997629889669</v>
      </c>
    </row>
    <row r="13" spans="1:13" x14ac:dyDescent="0.35">
      <c r="B13" s="30" t="s">
        <v>51</v>
      </c>
      <c r="C13" s="31" t="s">
        <v>10</v>
      </c>
      <c r="D13" s="32">
        <v>158.80498200974876</v>
      </c>
      <c r="E13" s="32">
        <v>161.90193426162014</v>
      </c>
      <c r="F13" s="32">
        <v>161.90194292775368</v>
      </c>
      <c r="G13" s="32">
        <v>161.9</v>
      </c>
      <c r="H13" s="32">
        <v>132.79584633495838</v>
      </c>
      <c r="I13" s="32">
        <v>132.08441183321676</v>
      </c>
      <c r="J13" s="32">
        <v>135.32581835726637</v>
      </c>
      <c r="K13" s="32">
        <v>149.23010304441243</v>
      </c>
      <c r="L13" s="32">
        <v>145</v>
      </c>
      <c r="M13" s="32">
        <v>152.71224022066198</v>
      </c>
    </row>
    <row r="14" spans="1:13" x14ac:dyDescent="0.35">
      <c r="B14" s="30" t="s">
        <v>51</v>
      </c>
      <c r="C14" s="31" t="s">
        <v>11</v>
      </c>
      <c r="D14" s="32">
        <v>32.369143955044521</v>
      </c>
      <c r="E14" s="32">
        <v>33.000394259626091</v>
      </c>
      <c r="F14" s="32">
        <v>33.000396026039972</v>
      </c>
      <c r="G14" s="32">
        <v>33</v>
      </c>
      <c r="H14" s="32">
        <v>16.393418271694856</v>
      </c>
      <c r="I14" s="32">
        <v>16.305592909066064</v>
      </c>
      <c r="J14" s="32">
        <v>16.70573895582805</v>
      </c>
      <c r="K14" s="32">
        <v>18.422198927551602</v>
      </c>
      <c r="L14" s="32">
        <v>17.899999999999999</v>
      </c>
      <c r="M14" s="32">
        <v>18.852062758274823</v>
      </c>
    </row>
    <row r="15" spans="1:13" x14ac:dyDescent="0.35">
      <c r="B15" s="30" t="s">
        <v>51</v>
      </c>
      <c r="C15" s="31" t="s">
        <v>13</v>
      </c>
      <c r="D15" s="32">
        <v>28.249434724402494</v>
      </c>
      <c r="E15" s="32">
        <v>28.800344081128227</v>
      </c>
      <c r="F15" s="32">
        <v>28.800345622725793</v>
      </c>
      <c r="G15" s="32">
        <v>28.8</v>
      </c>
      <c r="H15" s="32">
        <v>27.841336059191267</v>
      </c>
      <c r="I15" s="32">
        <v>27.692180136067506</v>
      </c>
      <c r="J15" s="32">
        <v>28.37175777973032</v>
      </c>
      <c r="K15" s="32">
        <v>31.286862983104395</v>
      </c>
      <c r="L15" s="32">
        <v>30.4</v>
      </c>
      <c r="M15" s="32">
        <v>32.016911053159475</v>
      </c>
    </row>
    <row r="16" spans="1:13" x14ac:dyDescent="0.35">
      <c r="B16" s="30" t="s">
        <v>51</v>
      </c>
      <c r="C16" s="31" t="s">
        <v>14</v>
      </c>
      <c r="D16" s="32">
        <v>146.64203094785324</v>
      </c>
      <c r="E16" s="32">
        <v>149.50178611557882</v>
      </c>
      <c r="F16" s="32">
        <v>149.50179411796898</v>
      </c>
      <c r="G16" s="32">
        <v>149.5</v>
      </c>
      <c r="H16" s="32">
        <v>216.50302119713214</v>
      </c>
      <c r="I16" s="32">
        <v>215.34313763705131</v>
      </c>
      <c r="J16" s="32">
        <v>220.62774799763977</v>
      </c>
      <c r="K16" s="32">
        <v>243.29652661861448</v>
      </c>
      <c r="L16" s="32">
        <v>236.4</v>
      </c>
      <c r="M16" s="32">
        <v>248.97361095285859</v>
      </c>
    </row>
    <row r="17" spans="2:13" x14ac:dyDescent="0.35">
      <c r="B17" s="30" t="s">
        <v>51</v>
      </c>
      <c r="C17" s="31" t="s">
        <v>15</v>
      </c>
      <c r="D17" s="32">
        <v>138.1083475415233</v>
      </c>
      <c r="E17" s="32">
        <v>140.80168217440468</v>
      </c>
      <c r="F17" s="32">
        <v>140.8016897111039</v>
      </c>
      <c r="G17" s="32">
        <v>140.80000000000001</v>
      </c>
      <c r="H17" s="32">
        <v>113.92967782116429</v>
      </c>
      <c r="I17" s="32">
        <v>113.31931608311838</v>
      </c>
      <c r="J17" s="32">
        <v>116.10021933547542</v>
      </c>
      <c r="K17" s="32">
        <v>128.02913668086143</v>
      </c>
      <c r="L17" s="32">
        <v>124.4</v>
      </c>
      <c r="M17" s="32">
        <v>131.01657023069208</v>
      </c>
    </row>
    <row r="18" spans="2:13" x14ac:dyDescent="0.35">
      <c r="B18" s="30" t="s">
        <v>51</v>
      </c>
      <c r="C18" s="33" t="s">
        <v>71</v>
      </c>
      <c r="D18" s="32">
        <v>0</v>
      </c>
      <c r="E18" s="32">
        <v>0</v>
      </c>
      <c r="F18" s="32">
        <v>0</v>
      </c>
      <c r="G18" s="32">
        <v>0</v>
      </c>
      <c r="H18" s="32">
        <v>0</v>
      </c>
      <c r="I18" s="32">
        <v>0</v>
      </c>
      <c r="J18" s="32">
        <v>0</v>
      </c>
      <c r="K18" s="32">
        <v>0</v>
      </c>
      <c r="L18" s="32">
        <v>0</v>
      </c>
      <c r="M18" s="32">
        <v>0</v>
      </c>
    </row>
    <row r="19" spans="2:13" x14ac:dyDescent="0.35">
      <c r="B19" s="30" t="s">
        <v>51</v>
      </c>
      <c r="C19" s="33" t="s">
        <v>72</v>
      </c>
      <c r="D19" s="32">
        <v>0</v>
      </c>
      <c r="E19" s="32">
        <v>0</v>
      </c>
      <c r="F19" s="32">
        <v>0</v>
      </c>
      <c r="G19" s="32">
        <v>0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</row>
    <row r="20" spans="2:13" x14ac:dyDescent="0.35">
      <c r="B20" s="30" t="s">
        <v>51</v>
      </c>
      <c r="C20" s="33" t="s">
        <v>73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</row>
    <row r="21" spans="2:13" x14ac:dyDescent="0.35">
      <c r="B21" s="30" t="s">
        <v>51</v>
      </c>
      <c r="C21" s="31" t="s">
        <v>16</v>
      </c>
      <c r="D21" s="32">
        <v>0</v>
      </c>
      <c r="E21" s="32">
        <v>0</v>
      </c>
      <c r="F21" s="32">
        <v>0</v>
      </c>
      <c r="G21" s="32">
        <v>0</v>
      </c>
      <c r="H21" s="32">
        <v>0.18316668459994259</v>
      </c>
      <c r="I21" s="32">
        <v>0.18218539563202313</v>
      </c>
      <c r="J21" s="32">
        <v>0.18665630118243637</v>
      </c>
      <c r="K21" s="32">
        <v>0.20583462488884474</v>
      </c>
      <c r="L21" s="32">
        <v>0.2</v>
      </c>
      <c r="M21" s="32">
        <v>0.21063757271815448</v>
      </c>
    </row>
    <row r="22" spans="2:13" x14ac:dyDescent="0.35">
      <c r="C22" s="31"/>
      <c r="D22" s="34"/>
      <c r="E22" s="34"/>
      <c r="F22" s="34"/>
      <c r="G22" s="34"/>
      <c r="H22" s="34"/>
      <c r="I22" s="34"/>
      <c r="J22" s="34"/>
      <c r="K22" s="34"/>
      <c r="L22" s="34"/>
      <c r="M22" s="34"/>
    </row>
    <row r="23" spans="2:13" ht="15" thickBot="1" x14ac:dyDescent="0.4">
      <c r="B23" s="27" t="s">
        <v>51</v>
      </c>
      <c r="C23" s="35" t="s">
        <v>28</v>
      </c>
      <c r="D23" s="36">
        <v>2790.9068271299448</v>
      </c>
      <c r="E23" s="36">
        <v>2845.3339935428517</v>
      </c>
      <c r="F23" s="36">
        <v>2845.3341458451982</v>
      </c>
      <c r="G23" s="36">
        <v>2845.3</v>
      </c>
      <c r="H23" s="36">
        <v>2905.2983677819893</v>
      </c>
      <c r="I23" s="36">
        <v>2889.7336528173346</v>
      </c>
      <c r="J23" s="36">
        <v>2960.6489212052143</v>
      </c>
      <c r="K23" s="36">
        <v>3264.8459026744104</v>
      </c>
      <c r="L23" s="36">
        <v>3172.3</v>
      </c>
      <c r="M23" s="36">
        <v>3341.0278596690068</v>
      </c>
    </row>
    <row r="24" spans="2:13" ht="15" thickTop="1" x14ac:dyDescent="0.35"/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5CA9-0165-42F6-B2BA-EC6B5C82CD16}">
  <dimension ref="B2:M12"/>
  <sheetViews>
    <sheetView workbookViewId="0">
      <selection activeCell="D11" sqref="D11"/>
    </sheetView>
  </sheetViews>
  <sheetFormatPr defaultRowHeight="14.5" x14ac:dyDescent="0.35"/>
  <cols>
    <col min="2" max="2" width="19.1796875" customWidth="1"/>
    <col min="3" max="3" width="19.6328125" bestFit="1" customWidth="1"/>
  </cols>
  <sheetData>
    <row r="2" spans="2:13" x14ac:dyDescent="0.35">
      <c r="B2" t="s">
        <v>94</v>
      </c>
      <c r="C2" t="s">
        <v>18</v>
      </c>
      <c r="D2" t="s">
        <v>19</v>
      </c>
      <c r="E2" t="s">
        <v>20</v>
      </c>
      <c r="F2" t="s">
        <v>1</v>
      </c>
      <c r="G2" t="s">
        <v>21</v>
      </c>
      <c r="H2" t="s">
        <v>22</v>
      </c>
      <c r="I2" t="s">
        <v>23</v>
      </c>
      <c r="J2" t="s">
        <v>24</v>
      </c>
      <c r="K2" t="s">
        <v>0</v>
      </c>
      <c r="L2" t="s">
        <v>25</v>
      </c>
    </row>
    <row r="3" spans="2:13" x14ac:dyDescent="0.35">
      <c r="B3" t="s">
        <v>95</v>
      </c>
      <c r="C3" s="59">
        <v>157.92218717461117</v>
      </c>
      <c r="D3" s="59">
        <v>161.00192350908486</v>
      </c>
      <c r="E3" s="59">
        <v>161.00193212704352</v>
      </c>
      <c r="F3" s="59">
        <v>161</v>
      </c>
      <c r="G3" s="59">
        <v>172.45143355084596</v>
      </c>
      <c r="H3" s="59">
        <v>171.52754998754978</v>
      </c>
      <c r="I3" s="59">
        <v>175.73690756326383</v>
      </c>
      <c r="J3" s="59">
        <v>193.79329933284734</v>
      </c>
      <c r="K3" s="59">
        <v>188.3</v>
      </c>
      <c r="L3" s="59">
        <v>198.31527471414245</v>
      </c>
    </row>
    <row r="4" spans="2:13" x14ac:dyDescent="0.35">
      <c r="B4" t="s">
        <v>96</v>
      </c>
      <c r="C4" s="59">
        <v>365.37897343194197</v>
      </c>
      <c r="D4" s="59">
        <v>372.5044503548703</v>
      </c>
      <c r="E4" s="59">
        <v>372.50447029393609</v>
      </c>
      <c r="F4" s="59">
        <v>372.5</v>
      </c>
      <c r="G4" s="59">
        <v>375.67487011448225</v>
      </c>
      <c r="H4" s="59">
        <v>373.66224644127942</v>
      </c>
      <c r="I4" s="59">
        <v>382.832073725177</v>
      </c>
      <c r="J4" s="59">
        <v>422.16681564702054</v>
      </c>
      <c r="K4" s="59">
        <v>410.2</v>
      </c>
      <c r="L4" s="59">
        <v>432.01766164493483</v>
      </c>
    </row>
    <row r="5" spans="2:13" x14ac:dyDescent="0.35">
      <c r="B5" t="s">
        <v>97</v>
      </c>
      <c r="C5" s="59">
        <v>2267.6056665233914</v>
      </c>
      <c r="D5" s="59">
        <v>2311.8276196788966</v>
      </c>
      <c r="E5" s="59">
        <v>2311.8277434242186</v>
      </c>
      <c r="F5" s="59">
        <v>2311.8000000000002</v>
      </c>
      <c r="G5" s="59">
        <v>2357.1720641166612</v>
      </c>
      <c r="H5" s="59">
        <v>2344.5438563885054</v>
      </c>
      <c r="I5" s="59">
        <v>2402.0799399167736</v>
      </c>
      <c r="J5" s="59">
        <v>2648.8857876945426</v>
      </c>
      <c r="K5" s="59">
        <v>2573.8000000000002</v>
      </c>
      <c r="L5" s="59">
        <v>2710.6949233099294</v>
      </c>
    </row>
    <row r="9" spans="2:13" x14ac:dyDescent="0.35">
      <c r="B9" t="s">
        <v>98</v>
      </c>
      <c r="C9" s="61" t="s">
        <v>94</v>
      </c>
      <c r="D9" s="62" t="s">
        <v>18</v>
      </c>
      <c r="E9" s="62" t="s">
        <v>19</v>
      </c>
      <c r="F9" s="62" t="s">
        <v>20</v>
      </c>
      <c r="G9" s="62" t="s">
        <v>1</v>
      </c>
      <c r="H9" s="62" t="s">
        <v>21</v>
      </c>
      <c r="I9" s="62" t="s">
        <v>22</v>
      </c>
      <c r="J9" s="62" t="s">
        <v>23</v>
      </c>
      <c r="K9" s="62" t="s">
        <v>24</v>
      </c>
      <c r="L9" s="62" t="s">
        <v>0</v>
      </c>
      <c r="M9" s="62" t="s">
        <v>25</v>
      </c>
    </row>
    <row r="10" spans="2:13" x14ac:dyDescent="0.35">
      <c r="B10" t="s">
        <v>51</v>
      </c>
      <c r="C10" s="63" t="s">
        <v>95</v>
      </c>
      <c r="D10" s="64">
        <v>5.6584542930446707E-2</v>
      </c>
      <c r="E10" s="64">
        <v>5.6584542930446707E-2</v>
      </c>
      <c r="F10" s="64">
        <v>5.65845429304467E-2</v>
      </c>
      <c r="G10" s="64">
        <v>5.65845429304467E-2</v>
      </c>
      <c r="H10" s="64">
        <v>5.9357563912618608E-2</v>
      </c>
      <c r="I10" s="64">
        <v>5.9357563912618608E-2</v>
      </c>
      <c r="J10" s="64">
        <v>5.9357563912618601E-2</v>
      </c>
      <c r="K10" s="64">
        <v>5.9357563912618622E-2</v>
      </c>
      <c r="L10" s="64">
        <v>5.9357563912618608E-2</v>
      </c>
      <c r="M10" s="64">
        <v>5.9357563912618615E-2</v>
      </c>
    </row>
    <row r="11" spans="2:13" x14ac:dyDescent="0.35">
      <c r="B11" t="s">
        <v>51</v>
      </c>
      <c r="C11" s="65" t="s">
        <v>96</v>
      </c>
      <c r="D11" s="66">
        <v>0.13091765367448074</v>
      </c>
      <c r="E11" s="66">
        <v>0.13091765367448074</v>
      </c>
      <c r="F11" s="66">
        <v>0.13091765367448072</v>
      </c>
      <c r="G11" s="66">
        <v>0.13091765367448072</v>
      </c>
      <c r="H11" s="66">
        <v>0.12930681209217287</v>
      </c>
      <c r="I11" s="66">
        <v>0.12930681209217287</v>
      </c>
      <c r="J11" s="66">
        <v>0.12930681209217287</v>
      </c>
      <c r="K11" s="66">
        <v>0.12930681209217287</v>
      </c>
      <c r="L11" s="66">
        <v>0.12930681209217287</v>
      </c>
      <c r="M11" s="66">
        <v>0.12930681209217287</v>
      </c>
    </row>
    <row r="12" spans="2:13" x14ac:dyDescent="0.35">
      <c r="B12" t="s">
        <v>51</v>
      </c>
      <c r="C12" s="60" t="s">
        <v>97</v>
      </c>
      <c r="D12" s="67">
        <v>0.81249780339507249</v>
      </c>
      <c r="E12" s="67">
        <v>0.8124978033950726</v>
      </c>
      <c r="F12" s="67">
        <v>0.8124978033950726</v>
      </c>
      <c r="G12" s="67">
        <v>0.8124978033950726</v>
      </c>
      <c r="H12" s="67">
        <v>0.81133562399520853</v>
      </c>
      <c r="I12" s="67">
        <v>0.81133562399520853</v>
      </c>
      <c r="J12" s="67">
        <v>0.81133562399520853</v>
      </c>
      <c r="K12" s="67">
        <v>0.81133562399520853</v>
      </c>
      <c r="L12" s="67">
        <v>0.81133562399520853</v>
      </c>
      <c r="M12" s="67">
        <v>0.81133562399520842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8178-C0BD-4BEE-BC6C-7EE5A6130F40}">
  <dimension ref="B2:M10"/>
  <sheetViews>
    <sheetView workbookViewId="0">
      <selection activeCell="E13" sqref="E13"/>
    </sheetView>
  </sheetViews>
  <sheetFormatPr defaultColWidth="8.6328125" defaultRowHeight="14.5" x14ac:dyDescent="0.35"/>
  <cols>
    <col min="2" max="2" width="9.453125" customWidth="1"/>
    <col min="3" max="3" width="18.90625" bestFit="1" customWidth="1"/>
    <col min="4" max="4" width="7.90625" bestFit="1" customWidth="1"/>
    <col min="5" max="5" width="11.81640625" bestFit="1" customWidth="1"/>
    <col min="6" max="6" width="10.81640625" bestFit="1" customWidth="1"/>
    <col min="7" max="8" width="11.81640625" bestFit="1" customWidth="1"/>
    <col min="9" max="9" width="12.453125" bestFit="1" customWidth="1"/>
    <col min="10" max="13" width="11.81640625" bestFit="1" customWidth="1"/>
  </cols>
  <sheetData>
    <row r="2" spans="2:13" x14ac:dyDescent="0.35">
      <c r="B2" t="s">
        <v>70</v>
      </c>
      <c r="C2" s="61" t="s">
        <v>99</v>
      </c>
      <c r="D2" s="62" t="s">
        <v>18</v>
      </c>
      <c r="E2" s="62" t="s">
        <v>19</v>
      </c>
      <c r="F2" s="62" t="s">
        <v>20</v>
      </c>
      <c r="G2" s="62" t="s">
        <v>1</v>
      </c>
      <c r="H2" s="62" t="s">
        <v>21</v>
      </c>
      <c r="I2" s="62" t="s">
        <v>22</v>
      </c>
      <c r="J2" s="62" t="s">
        <v>23</v>
      </c>
      <c r="K2" s="62" t="s">
        <v>24</v>
      </c>
      <c r="L2" s="62" t="s">
        <v>0</v>
      </c>
      <c r="M2" s="62" t="s">
        <v>25</v>
      </c>
    </row>
    <row r="3" spans="2:13" x14ac:dyDescent="0.35">
      <c r="B3" t="s">
        <v>51</v>
      </c>
      <c r="C3" s="63" t="s">
        <v>100</v>
      </c>
      <c r="D3" s="64">
        <v>0</v>
      </c>
      <c r="E3" s="64">
        <v>6.8635968722849695E-3</v>
      </c>
      <c r="F3" s="64">
        <v>3.779446026404349E-2</v>
      </c>
      <c r="G3" s="64">
        <v>9.1460879687370079E-3</v>
      </c>
      <c r="H3" s="64">
        <v>2.0515778198895936E-2</v>
      </c>
      <c r="I3" s="64">
        <v>-1.2191183594380752E-2</v>
      </c>
      <c r="J3" s="64">
        <v>3.3510420923579896E-3</v>
      </c>
      <c r="K3" s="64">
        <v>6.9077875529488436E-2</v>
      </c>
      <c r="L3" s="64">
        <v>6.3547698872295028E-2</v>
      </c>
      <c r="M3" s="64">
        <v>4.1839805129674737E-2</v>
      </c>
    </row>
    <row r="4" spans="2:13" x14ac:dyDescent="0.35">
      <c r="B4" t="s">
        <v>51</v>
      </c>
      <c r="C4" s="65" t="s">
        <v>101</v>
      </c>
      <c r="D4" s="66">
        <v>0</v>
      </c>
      <c r="E4" s="66">
        <v>1.9501606389661356E-2</v>
      </c>
      <c r="F4" s="66">
        <v>5.352705401402053E-8</v>
      </c>
      <c r="G4" s="66">
        <v>-1.200064507295776E-5</v>
      </c>
      <c r="H4" s="66">
        <v>7.1126916464881756E-2</v>
      </c>
      <c r="I4" s="66">
        <v>-5.3573550783141896E-3</v>
      </c>
      <c r="J4" s="66">
        <v>2.4540416836943017E-2</v>
      </c>
      <c r="K4" s="66">
        <v>0.10274672531769322</v>
      </c>
      <c r="L4" s="66">
        <v>-2.8346177869712507E-2</v>
      </c>
      <c r="M4" s="66">
        <v>5.3187863590772357E-2</v>
      </c>
    </row>
    <row r="5" spans="2:13" x14ac:dyDescent="0.35">
      <c r="B5" t="s">
        <v>51</v>
      </c>
      <c r="C5" s="63" t="s">
        <v>102</v>
      </c>
      <c r="D5" s="64">
        <v>0</v>
      </c>
      <c r="E5" s="64">
        <v>1.9501606389661526E-2</v>
      </c>
      <c r="F5" s="64">
        <v>5.3527053905021981E-8</v>
      </c>
      <c r="G5" s="64">
        <v>-1.2000645072976242E-5</v>
      </c>
      <c r="H5" s="64">
        <v>8.5231412469322053E-3</v>
      </c>
      <c r="I5" s="64">
        <v>-5.357355078314135E-3</v>
      </c>
      <c r="J5" s="64">
        <v>2.4540416836943153E-2</v>
      </c>
      <c r="K5" s="64">
        <v>0.10274672531769297</v>
      </c>
      <c r="L5" s="64">
        <v>-2.8346177869712458E-2</v>
      </c>
      <c r="M5" s="64">
        <v>5.3187863590772419E-2</v>
      </c>
    </row>
    <row r="6" spans="2:13" x14ac:dyDescent="0.35">
      <c r="B6" t="s">
        <v>51</v>
      </c>
      <c r="C6" s="65" t="s">
        <v>103</v>
      </c>
      <c r="D6" s="66">
        <v>0</v>
      </c>
      <c r="E6" s="66">
        <v>1.9501606389661367E-2</v>
      </c>
      <c r="F6" s="66">
        <v>5.3527054044462491E-8</v>
      </c>
      <c r="G6" s="66">
        <v>-1.2000645072970665E-5</v>
      </c>
      <c r="H6" s="66">
        <v>2.7415751950006069E-2</v>
      </c>
      <c r="I6" s="66">
        <v>-5.3573550783143076E-3</v>
      </c>
      <c r="J6" s="66">
        <v>2.4540416836943166E-2</v>
      </c>
      <c r="K6" s="66">
        <v>0.10274672531769305</v>
      </c>
      <c r="L6" s="66">
        <v>-2.8346177869712431E-2</v>
      </c>
      <c r="M6" s="66">
        <v>5.3187863590772398E-2</v>
      </c>
    </row>
    <row r="7" spans="2:13" x14ac:dyDescent="0.35">
      <c r="B7" t="s">
        <v>51</v>
      </c>
      <c r="C7" s="63" t="s">
        <v>104</v>
      </c>
      <c r="D7" s="64">
        <v>1</v>
      </c>
      <c r="E7" s="64">
        <v>0.99470000000000003</v>
      </c>
      <c r="F7" s="64">
        <v>1.0004</v>
      </c>
      <c r="G7" s="64">
        <v>1.0048000000000001</v>
      </c>
      <c r="H7" s="64">
        <v>1.0105</v>
      </c>
      <c r="I7" s="64">
        <v>1.0087999999999999</v>
      </c>
      <c r="J7" s="64">
        <v>1.0322</v>
      </c>
      <c r="K7" s="64">
        <v>1.0954000000000002</v>
      </c>
      <c r="L7" s="64">
        <v>1.1484000000000001</v>
      </c>
      <c r="M7" s="64">
        <v>1.1758</v>
      </c>
    </row>
    <row r="8" spans="2:13" x14ac:dyDescent="0.35">
      <c r="B8" t="s">
        <v>51</v>
      </c>
      <c r="C8" s="68" t="s">
        <v>105</v>
      </c>
      <c r="D8" s="69">
        <v>1</v>
      </c>
      <c r="E8" s="69">
        <v>1.0231999999999999</v>
      </c>
      <c r="F8" s="69">
        <v>1.0365</v>
      </c>
      <c r="G8" s="69">
        <v>1.05</v>
      </c>
      <c r="H8" s="69">
        <v>1.0618000000000001</v>
      </c>
      <c r="I8" s="69">
        <v>1.0924</v>
      </c>
      <c r="J8" s="69">
        <v>1.1098000000000001</v>
      </c>
      <c r="K8" s="69">
        <v>1.1682999999999999</v>
      </c>
      <c r="L8" s="69">
        <v>1.2282</v>
      </c>
      <c r="M8" s="69">
        <v>1.2433000000000001</v>
      </c>
    </row>
    <row r="9" spans="2:13" x14ac:dyDescent="0.35">
      <c r="B9" t="s">
        <v>51</v>
      </c>
      <c r="C9" s="65" t="s">
        <v>106</v>
      </c>
      <c r="D9" s="66">
        <v>0</v>
      </c>
      <c r="E9" s="66">
        <v>1.9059427667769101E-2</v>
      </c>
      <c r="F9" s="66">
        <v>5.1642116781922329E-8</v>
      </c>
      <c r="G9" s="66">
        <v>-1.1429185783781585E-5</v>
      </c>
      <c r="H9" s="66">
        <v>2.5820071529483957E-2</v>
      </c>
      <c r="I9" s="66">
        <v>-4.9042064063660818E-3</v>
      </c>
      <c r="J9" s="66">
        <v>2.2112467865329936E-2</v>
      </c>
      <c r="K9" s="66">
        <v>8.7945498003674627E-2</v>
      </c>
      <c r="L9" s="66">
        <v>-2.30794478665628E-2</v>
      </c>
      <c r="M9" s="66">
        <v>4.277958947218885E-2</v>
      </c>
    </row>
    <row r="10" spans="2:13" x14ac:dyDescent="0.35">
      <c r="B10" t="s">
        <v>51</v>
      </c>
      <c r="C10" s="70" t="s">
        <v>107</v>
      </c>
      <c r="D10" s="71">
        <v>0</v>
      </c>
      <c r="E10" s="71">
        <v>6.9001677614204983E-3</v>
      </c>
      <c r="F10" s="71">
        <v>3.7779348524633639E-2</v>
      </c>
      <c r="G10" s="71">
        <v>9.1023964657016392E-3</v>
      </c>
      <c r="H10" s="71">
        <v>2.0302600889555603E-2</v>
      </c>
      <c r="I10" s="71">
        <v>-1.2084837028529692E-2</v>
      </c>
      <c r="J10" s="71">
        <v>3.2465046428579629E-3</v>
      </c>
      <c r="K10" s="71">
        <v>6.3061781567909828E-2</v>
      </c>
      <c r="L10" s="71">
        <v>5.5335857603879331E-2</v>
      </c>
      <c r="M10" s="71">
        <v>3.5584117307088568E-2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7A164-2B93-471C-B73E-07A080003016}">
  <dimension ref="A1:Q11"/>
  <sheetViews>
    <sheetView tabSelected="1" workbookViewId="0">
      <selection activeCell="B14" sqref="B14"/>
    </sheetView>
  </sheetViews>
  <sheetFormatPr defaultRowHeight="14.5" x14ac:dyDescent="0.35"/>
  <cols>
    <col min="1" max="1" width="14.453125" style="1" bestFit="1" customWidth="1"/>
    <col min="2" max="2" width="14.08984375" style="19" customWidth="1"/>
    <col min="3" max="10" width="10.453125" style="1" customWidth="1"/>
    <col min="11" max="13" width="11.453125" style="1" customWidth="1"/>
    <col min="14" max="15" width="8.7265625" style="1"/>
    <col min="16" max="16" width="10.08984375" style="1" customWidth="1"/>
    <col min="17" max="16384" width="8.7265625" style="1"/>
  </cols>
  <sheetData>
    <row r="1" spans="1:17" x14ac:dyDescent="0.35">
      <c r="A1" s="74"/>
      <c r="O1" s="1" t="s">
        <v>82</v>
      </c>
    </row>
    <row r="2" spans="1:17" x14ac:dyDescent="0.35">
      <c r="B2" s="20" t="s">
        <v>84</v>
      </c>
      <c r="O2" s="72" t="s">
        <v>86</v>
      </c>
      <c r="P2" s="72"/>
      <c r="Q2" s="72"/>
    </row>
    <row r="3" spans="1:17" s="21" customFormat="1" x14ac:dyDescent="0.35">
      <c r="B3" s="19" t="s">
        <v>26</v>
      </c>
      <c r="C3" s="21" t="s">
        <v>17</v>
      </c>
      <c r="D3" s="21" t="s">
        <v>18</v>
      </c>
      <c r="E3" s="21" t="s">
        <v>19</v>
      </c>
      <c r="F3" s="21" t="s">
        <v>20</v>
      </c>
      <c r="G3" s="21" t="s">
        <v>1</v>
      </c>
      <c r="H3" s="21" t="s">
        <v>21</v>
      </c>
      <c r="I3" s="21" t="s">
        <v>22</v>
      </c>
      <c r="J3" s="21" t="s">
        <v>23</v>
      </c>
      <c r="K3" s="21" t="s">
        <v>24</v>
      </c>
      <c r="L3" s="21" t="s">
        <v>0</v>
      </c>
      <c r="M3" s="21" t="s">
        <v>25</v>
      </c>
      <c r="O3" s="72"/>
      <c r="P3" s="72"/>
      <c r="Q3" s="72"/>
    </row>
    <row r="4" spans="1:17" x14ac:dyDescent="0.35">
      <c r="B4" s="19" t="s">
        <v>27</v>
      </c>
      <c r="C4" s="1">
        <v>11143</v>
      </c>
      <c r="D4" s="1">
        <v>11510</v>
      </c>
      <c r="E4" s="1">
        <v>11589</v>
      </c>
      <c r="F4" s="1">
        <v>12027</v>
      </c>
      <c r="G4" s="1">
        <v>12137</v>
      </c>
      <c r="H4" s="1">
        <v>12386</v>
      </c>
      <c r="I4" s="1">
        <v>12235</v>
      </c>
      <c r="J4" s="1">
        <v>12276</v>
      </c>
      <c r="K4" s="1">
        <v>13124</v>
      </c>
      <c r="L4" s="1">
        <v>13958</v>
      </c>
      <c r="M4" s="1">
        <v>14542</v>
      </c>
      <c r="O4" s="72"/>
      <c r="P4" s="72"/>
      <c r="Q4" s="72"/>
    </row>
    <row r="5" spans="1:17" x14ac:dyDescent="0.35">
      <c r="B5" s="19" t="s">
        <v>29</v>
      </c>
      <c r="C5" s="1">
        <v>8292</v>
      </c>
      <c r="D5" s="1">
        <v>8666</v>
      </c>
      <c r="E5" s="1">
        <v>8846</v>
      </c>
      <c r="F5" s="1">
        <v>9023</v>
      </c>
      <c r="G5" s="1">
        <v>9293</v>
      </c>
      <c r="H5" s="1">
        <v>9425</v>
      </c>
      <c r="I5" s="1">
        <v>9189</v>
      </c>
      <c r="J5" s="1">
        <v>9520</v>
      </c>
      <c r="K5" s="1">
        <v>10099</v>
      </c>
      <c r="L5" s="1">
        <v>10869</v>
      </c>
      <c r="M5" s="1">
        <v>11297</v>
      </c>
    </row>
    <row r="7" spans="1:17" x14ac:dyDescent="0.35">
      <c r="B7" s="20" t="s">
        <v>85</v>
      </c>
    </row>
    <row r="8" spans="1:17" s="22" customFormat="1" x14ac:dyDescent="0.35">
      <c r="B8" s="23" t="s">
        <v>26</v>
      </c>
      <c r="C8" s="23" t="s">
        <v>18</v>
      </c>
      <c r="D8" s="23" t="s">
        <v>19</v>
      </c>
      <c r="E8" s="23" t="s">
        <v>20</v>
      </c>
      <c r="F8" s="23" t="s">
        <v>1</v>
      </c>
      <c r="G8" s="23" t="s">
        <v>21</v>
      </c>
      <c r="H8" s="23" t="s">
        <v>22</v>
      </c>
      <c r="I8" s="23" t="s">
        <v>23</v>
      </c>
      <c r="J8" s="23" t="s">
        <v>24</v>
      </c>
      <c r="K8" s="23" t="s">
        <v>0</v>
      </c>
      <c r="L8" s="23" t="s">
        <v>25</v>
      </c>
      <c r="M8" s="1"/>
    </row>
    <row r="9" spans="1:17" x14ac:dyDescent="0.35">
      <c r="B9" s="24" t="s">
        <v>36</v>
      </c>
      <c r="C9" s="25">
        <f>(D4-C4)/C4</f>
        <v>3.2935475186215563E-2</v>
      </c>
      <c r="D9" s="25">
        <f>(E4-D4)/D4</f>
        <v>6.8635968722849695E-3</v>
      </c>
      <c r="E9" s="25">
        <f t="shared" ref="E9:L9" si="0">(F4-E4)/E4</f>
        <v>3.779446026404349E-2</v>
      </c>
      <c r="F9" s="25">
        <f t="shared" si="0"/>
        <v>9.1460879687370079E-3</v>
      </c>
      <c r="G9" s="25">
        <f t="shared" si="0"/>
        <v>2.0515778198895936E-2</v>
      </c>
      <c r="H9" s="25">
        <f t="shared" si="0"/>
        <v>-1.2191183594380752E-2</v>
      </c>
      <c r="I9" s="25">
        <f t="shared" si="0"/>
        <v>3.3510420923579896E-3</v>
      </c>
      <c r="J9" s="25">
        <f t="shared" si="0"/>
        <v>6.9077875529488436E-2</v>
      </c>
      <c r="K9" s="25">
        <f t="shared" si="0"/>
        <v>6.3547698872295028E-2</v>
      </c>
      <c r="L9" s="25">
        <f t="shared" si="0"/>
        <v>4.1839805129674737E-2</v>
      </c>
    </row>
    <row r="11" spans="1:17" x14ac:dyDescent="0.35">
      <c r="C11" s="51"/>
    </row>
  </sheetData>
  <mergeCells count="1">
    <mergeCell ref="O2:Q4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F80ED-B1F9-4C9A-BCF7-0D9DCD8A66CB}">
  <dimension ref="A1:S16"/>
  <sheetViews>
    <sheetView workbookViewId="0"/>
  </sheetViews>
  <sheetFormatPr defaultRowHeight="14.5" x14ac:dyDescent="0.35"/>
  <cols>
    <col min="1" max="1" width="14.453125" style="1" bestFit="1" customWidth="1"/>
    <col min="2" max="2" width="17.36328125" style="1" bestFit="1" customWidth="1"/>
    <col min="3" max="3" width="13.36328125" style="1" bestFit="1" customWidth="1"/>
    <col min="4" max="4" width="39.08984375" style="1" bestFit="1" customWidth="1"/>
    <col min="5" max="5" width="16.08984375" style="1" bestFit="1" customWidth="1"/>
    <col min="6" max="6" width="22" style="1" bestFit="1" customWidth="1"/>
    <col min="7" max="17" width="7.08984375" style="1" bestFit="1" customWidth="1"/>
    <col min="18" max="18" width="16.1796875" style="1" bestFit="1" customWidth="1"/>
    <col min="19" max="19" width="7.81640625" style="1" bestFit="1" customWidth="1"/>
    <col min="20" max="16384" width="8.7265625" style="1"/>
  </cols>
  <sheetData>
    <row r="1" spans="1:19" x14ac:dyDescent="0.35">
      <c r="A1" s="74"/>
    </row>
    <row r="2" spans="1:19" x14ac:dyDescent="0.35">
      <c r="B2" s="26" t="s">
        <v>89</v>
      </c>
    </row>
    <row r="3" spans="1:19" x14ac:dyDescent="0.35">
      <c r="B3" s="37" t="s">
        <v>30</v>
      </c>
      <c r="C3" s="37" t="s">
        <v>31</v>
      </c>
      <c r="D3" s="37" t="s">
        <v>32</v>
      </c>
      <c r="E3" s="37" t="s">
        <v>33</v>
      </c>
      <c r="F3" s="37" t="s">
        <v>34</v>
      </c>
      <c r="G3" s="37" t="s">
        <v>17</v>
      </c>
      <c r="H3" s="37" t="s">
        <v>18</v>
      </c>
      <c r="I3" s="37" t="s">
        <v>19</v>
      </c>
      <c r="J3" s="37" t="s">
        <v>20</v>
      </c>
      <c r="K3" s="37" t="s">
        <v>1</v>
      </c>
      <c r="L3" s="37" t="s">
        <v>21</v>
      </c>
      <c r="M3" s="37" t="s">
        <v>22</v>
      </c>
      <c r="N3" s="37" t="s">
        <v>23</v>
      </c>
      <c r="O3" s="37" t="s">
        <v>24</v>
      </c>
      <c r="P3" s="37" t="s">
        <v>0</v>
      </c>
      <c r="Q3" s="37" t="s">
        <v>25</v>
      </c>
      <c r="R3" s="37" t="s">
        <v>35</v>
      </c>
      <c r="S3" s="37" t="s">
        <v>36</v>
      </c>
    </row>
    <row r="4" spans="1:19" x14ac:dyDescent="0.35">
      <c r="B4" s="38" t="s">
        <v>51</v>
      </c>
      <c r="C4" s="38" t="s">
        <v>37</v>
      </c>
      <c r="D4" s="38" t="s">
        <v>38</v>
      </c>
      <c r="E4" s="38" t="s">
        <v>39</v>
      </c>
      <c r="F4" s="38" t="s">
        <v>40</v>
      </c>
      <c r="G4" s="38">
        <v>100.53</v>
      </c>
      <c r="H4" s="38">
        <v>100</v>
      </c>
      <c r="I4" s="38">
        <v>99.47</v>
      </c>
      <c r="J4" s="38">
        <v>100.04</v>
      </c>
      <c r="K4" s="38">
        <v>100.48</v>
      </c>
      <c r="L4" s="38">
        <v>101.05</v>
      </c>
      <c r="M4" s="38">
        <v>100.88</v>
      </c>
      <c r="N4" s="38">
        <v>103.22</v>
      </c>
      <c r="O4" s="38">
        <v>109.54</v>
      </c>
      <c r="P4" s="38">
        <v>114.84</v>
      </c>
      <c r="Q4" s="38">
        <v>117.58</v>
      </c>
      <c r="R4" s="38" t="s">
        <v>41</v>
      </c>
      <c r="S4" s="38">
        <v>-0.52</v>
      </c>
    </row>
    <row r="5" spans="1:19" x14ac:dyDescent="0.35">
      <c r="B5" s="39" t="s">
        <v>51</v>
      </c>
      <c r="C5" s="39" t="s">
        <v>37</v>
      </c>
      <c r="D5" s="39" t="s">
        <v>38</v>
      </c>
      <c r="E5" s="39" t="s">
        <v>39</v>
      </c>
      <c r="F5" s="39" t="s">
        <v>40</v>
      </c>
      <c r="G5" s="39">
        <v>100.53</v>
      </c>
      <c r="H5" s="39">
        <v>100</v>
      </c>
      <c r="I5" s="39">
        <v>99.47</v>
      </c>
      <c r="J5" s="39">
        <v>100.04</v>
      </c>
      <c r="K5" s="39">
        <v>100.48</v>
      </c>
      <c r="L5" s="39">
        <v>101.05</v>
      </c>
      <c r="M5" s="39">
        <v>100.88</v>
      </c>
      <c r="N5" s="39">
        <v>103.22</v>
      </c>
      <c r="O5" s="39">
        <v>109.54</v>
      </c>
      <c r="P5" s="39">
        <v>114.84</v>
      </c>
      <c r="Q5" s="39">
        <v>117.58</v>
      </c>
      <c r="R5" s="39" t="s">
        <v>42</v>
      </c>
      <c r="S5" s="39">
        <v>-0.53</v>
      </c>
    </row>
    <row r="6" spans="1:19" x14ac:dyDescent="0.35">
      <c r="B6" s="38" t="s">
        <v>51</v>
      </c>
      <c r="C6" s="38" t="s">
        <v>37</v>
      </c>
      <c r="D6" s="38" t="s">
        <v>38</v>
      </c>
      <c r="E6" s="38" t="s">
        <v>39</v>
      </c>
      <c r="F6" s="38" t="s">
        <v>40</v>
      </c>
      <c r="G6" s="38">
        <v>100.53</v>
      </c>
      <c r="H6" s="38">
        <v>100</v>
      </c>
      <c r="I6" s="38">
        <v>99.47</v>
      </c>
      <c r="J6" s="38">
        <v>100.04</v>
      </c>
      <c r="K6" s="38">
        <v>100.48</v>
      </c>
      <c r="L6" s="38">
        <v>101.05</v>
      </c>
      <c r="M6" s="38">
        <v>100.88</v>
      </c>
      <c r="N6" s="38">
        <v>103.22</v>
      </c>
      <c r="O6" s="38">
        <v>109.54</v>
      </c>
      <c r="P6" s="38">
        <v>114.84</v>
      </c>
      <c r="Q6" s="38">
        <v>117.58</v>
      </c>
      <c r="R6" s="38" t="s">
        <v>43</v>
      </c>
      <c r="S6" s="38">
        <v>0.57999999999999996</v>
      </c>
    </row>
    <row r="7" spans="1:19" x14ac:dyDescent="0.35">
      <c r="B7" s="39" t="s">
        <v>51</v>
      </c>
      <c r="C7" s="39" t="s">
        <v>37</v>
      </c>
      <c r="D7" s="39" t="s">
        <v>38</v>
      </c>
      <c r="E7" s="39" t="s">
        <v>39</v>
      </c>
      <c r="F7" s="39" t="s">
        <v>40</v>
      </c>
      <c r="G7" s="39">
        <v>100.53</v>
      </c>
      <c r="H7" s="39">
        <v>100</v>
      </c>
      <c r="I7" s="39">
        <v>99.47</v>
      </c>
      <c r="J7" s="39">
        <v>100.04</v>
      </c>
      <c r="K7" s="39">
        <v>100.48</v>
      </c>
      <c r="L7" s="39">
        <v>101.05</v>
      </c>
      <c r="M7" s="39">
        <v>100.88</v>
      </c>
      <c r="N7" s="39">
        <v>103.22</v>
      </c>
      <c r="O7" s="39">
        <v>109.54</v>
      </c>
      <c r="P7" s="39">
        <v>114.84</v>
      </c>
      <c r="Q7" s="39">
        <v>117.58</v>
      </c>
      <c r="R7" s="39" t="s">
        <v>44</v>
      </c>
      <c r="S7" s="39">
        <v>0.44</v>
      </c>
    </row>
    <row r="8" spans="1:19" x14ac:dyDescent="0.35">
      <c r="B8" s="38" t="s">
        <v>51</v>
      </c>
      <c r="C8" s="38" t="s">
        <v>37</v>
      </c>
      <c r="D8" s="38" t="s">
        <v>38</v>
      </c>
      <c r="E8" s="38" t="s">
        <v>39</v>
      </c>
      <c r="F8" s="38" t="s">
        <v>40</v>
      </c>
      <c r="G8" s="38">
        <v>100.53</v>
      </c>
      <c r="H8" s="38">
        <v>100</v>
      </c>
      <c r="I8" s="38">
        <v>99.47</v>
      </c>
      <c r="J8" s="38">
        <v>100.04</v>
      </c>
      <c r="K8" s="38">
        <v>100.48</v>
      </c>
      <c r="L8" s="38">
        <v>101.05</v>
      </c>
      <c r="M8" s="38">
        <v>100.88</v>
      </c>
      <c r="N8" s="38">
        <v>103.22</v>
      </c>
      <c r="O8" s="38">
        <v>109.54</v>
      </c>
      <c r="P8" s="38">
        <v>114.84</v>
      </c>
      <c r="Q8" s="38">
        <v>117.58</v>
      </c>
      <c r="R8" s="38" t="s">
        <v>45</v>
      </c>
      <c r="S8" s="38">
        <v>0.56999999999999995</v>
      </c>
    </row>
    <row r="9" spans="1:19" x14ac:dyDescent="0.35">
      <c r="B9" s="39" t="s">
        <v>51</v>
      </c>
      <c r="C9" s="39" t="s">
        <v>37</v>
      </c>
      <c r="D9" s="39" t="s">
        <v>38</v>
      </c>
      <c r="E9" s="39" t="s">
        <v>39</v>
      </c>
      <c r="F9" s="39" t="s">
        <v>40</v>
      </c>
      <c r="G9" s="39">
        <v>100.53</v>
      </c>
      <c r="H9" s="39">
        <v>100</v>
      </c>
      <c r="I9" s="39">
        <v>99.47</v>
      </c>
      <c r="J9" s="39">
        <v>100.04</v>
      </c>
      <c r="K9" s="39">
        <v>100.48</v>
      </c>
      <c r="L9" s="39">
        <v>101.05</v>
      </c>
      <c r="M9" s="39">
        <v>100.88</v>
      </c>
      <c r="N9" s="39">
        <v>103.22</v>
      </c>
      <c r="O9" s="39">
        <v>109.54</v>
      </c>
      <c r="P9" s="39">
        <v>114.84</v>
      </c>
      <c r="Q9" s="39">
        <v>117.58</v>
      </c>
      <c r="R9" s="39" t="s">
        <v>46</v>
      </c>
      <c r="S9" s="39">
        <v>-0.17</v>
      </c>
    </row>
    <row r="10" spans="1:19" x14ac:dyDescent="0.35">
      <c r="B10" s="38" t="s">
        <v>51</v>
      </c>
      <c r="C10" s="38" t="s">
        <v>37</v>
      </c>
      <c r="D10" s="38" t="s">
        <v>38</v>
      </c>
      <c r="E10" s="38" t="s">
        <v>39</v>
      </c>
      <c r="F10" s="38" t="s">
        <v>40</v>
      </c>
      <c r="G10" s="38">
        <v>100.53</v>
      </c>
      <c r="H10" s="38">
        <v>100</v>
      </c>
      <c r="I10" s="38">
        <v>99.47</v>
      </c>
      <c r="J10" s="38">
        <v>100.04</v>
      </c>
      <c r="K10" s="38">
        <v>100.48</v>
      </c>
      <c r="L10" s="38">
        <v>101.05</v>
      </c>
      <c r="M10" s="38">
        <v>100.88</v>
      </c>
      <c r="N10" s="38">
        <v>103.22</v>
      </c>
      <c r="O10" s="38">
        <v>109.54</v>
      </c>
      <c r="P10" s="38">
        <v>114.84</v>
      </c>
      <c r="Q10" s="38">
        <v>117.58</v>
      </c>
      <c r="R10" s="38" t="s">
        <v>47</v>
      </c>
      <c r="S10" s="38">
        <v>2.3199999999999998</v>
      </c>
    </row>
    <row r="11" spans="1:19" x14ac:dyDescent="0.35">
      <c r="B11" s="39" t="s">
        <v>51</v>
      </c>
      <c r="C11" s="39" t="s">
        <v>37</v>
      </c>
      <c r="D11" s="39" t="s">
        <v>38</v>
      </c>
      <c r="E11" s="39" t="s">
        <v>39</v>
      </c>
      <c r="F11" s="39" t="s">
        <v>40</v>
      </c>
      <c r="G11" s="39">
        <v>100.53</v>
      </c>
      <c r="H11" s="39">
        <v>100</v>
      </c>
      <c r="I11" s="39">
        <v>99.47</v>
      </c>
      <c r="J11" s="39">
        <v>100.04</v>
      </c>
      <c r="K11" s="39">
        <v>100.48</v>
      </c>
      <c r="L11" s="39">
        <v>101.05</v>
      </c>
      <c r="M11" s="39">
        <v>100.88</v>
      </c>
      <c r="N11" s="39">
        <v>103.22</v>
      </c>
      <c r="O11" s="39">
        <v>109.54</v>
      </c>
      <c r="P11" s="39">
        <v>114.84</v>
      </c>
      <c r="Q11" s="39">
        <v>117.58</v>
      </c>
      <c r="R11" s="39" t="s">
        <v>48</v>
      </c>
      <c r="S11" s="39">
        <v>6.13</v>
      </c>
    </row>
    <row r="12" spans="1:19" x14ac:dyDescent="0.35">
      <c r="B12" s="38" t="s">
        <v>51</v>
      </c>
      <c r="C12" s="38" t="s">
        <v>37</v>
      </c>
      <c r="D12" s="38" t="s">
        <v>38</v>
      </c>
      <c r="E12" s="38" t="s">
        <v>39</v>
      </c>
      <c r="F12" s="38" t="s">
        <v>40</v>
      </c>
      <c r="G12" s="38">
        <v>100.53</v>
      </c>
      <c r="H12" s="38">
        <v>100</v>
      </c>
      <c r="I12" s="38">
        <v>99.47</v>
      </c>
      <c r="J12" s="38">
        <v>100.04</v>
      </c>
      <c r="K12" s="38">
        <v>100.48</v>
      </c>
      <c r="L12" s="38">
        <v>101.05</v>
      </c>
      <c r="M12" s="38">
        <v>100.88</v>
      </c>
      <c r="N12" s="38">
        <v>103.22</v>
      </c>
      <c r="O12" s="38">
        <v>109.54</v>
      </c>
      <c r="P12" s="38">
        <v>114.84</v>
      </c>
      <c r="Q12" s="38">
        <v>117.58</v>
      </c>
      <c r="R12" s="38" t="s">
        <v>49</v>
      </c>
      <c r="S12" s="38">
        <v>4.83</v>
      </c>
    </row>
    <row r="13" spans="1:19" x14ac:dyDescent="0.35">
      <c r="B13" s="39" t="s">
        <v>51</v>
      </c>
      <c r="C13" s="39" t="s">
        <v>37</v>
      </c>
      <c r="D13" s="39" t="s">
        <v>38</v>
      </c>
      <c r="E13" s="39" t="s">
        <v>39</v>
      </c>
      <c r="F13" s="39" t="s">
        <v>40</v>
      </c>
      <c r="G13" s="39">
        <v>100.53</v>
      </c>
      <c r="H13" s="39">
        <v>100</v>
      </c>
      <c r="I13" s="39">
        <v>99.47</v>
      </c>
      <c r="J13" s="39">
        <v>100.04</v>
      </c>
      <c r="K13" s="39">
        <v>100.48</v>
      </c>
      <c r="L13" s="39">
        <v>101.05</v>
      </c>
      <c r="M13" s="39">
        <v>100.88</v>
      </c>
      <c r="N13" s="39">
        <v>103.22</v>
      </c>
      <c r="O13" s="39">
        <v>109.54</v>
      </c>
      <c r="P13" s="39">
        <v>114.84</v>
      </c>
      <c r="Q13" s="39">
        <v>117.58</v>
      </c>
      <c r="R13" s="39" t="s">
        <v>50</v>
      </c>
      <c r="S13" s="39">
        <v>2.39</v>
      </c>
    </row>
    <row r="15" spans="1:19" x14ac:dyDescent="0.35">
      <c r="B15" s="1" t="s">
        <v>87</v>
      </c>
    </row>
    <row r="16" spans="1:19" x14ac:dyDescent="0.35">
      <c r="B16" s="1" t="s">
        <v>88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FB099-C61A-4F5E-8C6B-E99CB09E19D8}">
  <dimension ref="A1:H15"/>
  <sheetViews>
    <sheetView workbookViewId="0">
      <selection activeCell="E17" sqref="E17"/>
    </sheetView>
  </sheetViews>
  <sheetFormatPr defaultRowHeight="14.5" x14ac:dyDescent="0.35"/>
  <cols>
    <col min="1" max="1" width="8.7265625" style="1"/>
    <col min="2" max="2" width="10.453125" style="19" customWidth="1"/>
    <col min="3" max="3" width="46.08984375" style="21" bestFit="1" customWidth="1"/>
    <col min="4" max="4" width="19.1796875" style="21" bestFit="1" customWidth="1"/>
    <col min="5" max="5" width="19.1796875" style="21" customWidth="1"/>
    <col min="6" max="6" width="15.453125" style="1" customWidth="1"/>
    <col min="7" max="7" width="19.453125" style="1" customWidth="1"/>
    <col min="8" max="8" width="29.36328125" style="1" customWidth="1"/>
    <col min="9" max="16384" width="8.7265625" style="1"/>
  </cols>
  <sheetData>
    <row r="1" spans="1:8" ht="21" x14ac:dyDescent="0.5">
      <c r="A1" s="40" t="s">
        <v>52</v>
      </c>
      <c r="D1" s="74"/>
    </row>
    <row r="3" spans="1:8" ht="15.5" x14ac:dyDescent="0.35">
      <c r="C3" s="41" t="s">
        <v>53</v>
      </c>
    </row>
    <row r="5" spans="1:8" x14ac:dyDescent="0.35">
      <c r="B5" s="53" t="s">
        <v>26</v>
      </c>
      <c r="C5" s="42" t="s">
        <v>54</v>
      </c>
      <c r="D5" s="43" t="s">
        <v>64</v>
      </c>
      <c r="E5" s="43" t="s">
        <v>65</v>
      </c>
      <c r="F5" s="43" t="s">
        <v>66</v>
      </c>
      <c r="G5" s="43" t="s">
        <v>67</v>
      </c>
      <c r="H5" s="44" t="s">
        <v>68</v>
      </c>
    </row>
    <row r="6" spans="1:8" ht="15.5" x14ac:dyDescent="0.35">
      <c r="B6" s="54">
        <v>2015</v>
      </c>
      <c r="C6" s="45" t="s">
        <v>55</v>
      </c>
      <c r="D6" s="46">
        <v>0.75</v>
      </c>
      <c r="E6" s="46">
        <f>'Global Food Inflation'!S4/100</f>
        <v>-5.1999999999999998E-3</v>
      </c>
      <c r="F6" s="47">
        <f>'Average monthly income per year'!$C9</f>
        <v>3.2935475186215563E-2</v>
      </c>
      <c r="G6" s="47">
        <f>E6+D6*F6</f>
        <v>1.9501606389661672E-2</v>
      </c>
      <c r="H6" s="47">
        <f>'Average monthly expenditure per'!E23/(1+'Estimated expenditure growth'!G6)</f>
        <v>2790.9068271299443</v>
      </c>
    </row>
    <row r="7" spans="1:8" ht="15.5" x14ac:dyDescent="0.35">
      <c r="B7" s="55">
        <v>2016</v>
      </c>
      <c r="C7" s="48" t="s">
        <v>56</v>
      </c>
      <c r="D7" s="49">
        <v>0.75</v>
      </c>
      <c r="E7" s="49">
        <f>'Global Food Inflation'!S5/100</f>
        <v>-5.3E-3</v>
      </c>
      <c r="F7" s="50" cm="1">
        <f t="array" ref="F7">'Average monthly income per year'!$D$9:$D$9</f>
        <v>6.8635968722849695E-3</v>
      </c>
      <c r="G7" s="50">
        <f t="shared" ref="G7:G15" si="0">E7+D7*F7</f>
        <v>-1.5230234578627287E-4</v>
      </c>
      <c r="H7" s="50">
        <f>'Estimated expenditure growth'!H8/1+'Estimated expenditure growth'!G7</f>
        <v>2845.3339935428526</v>
      </c>
    </row>
    <row r="8" spans="1:8" ht="15.5" x14ac:dyDescent="0.35">
      <c r="B8" s="54">
        <v>2017</v>
      </c>
      <c r="C8" s="45" t="s">
        <v>57</v>
      </c>
      <c r="D8" s="46">
        <v>0.75</v>
      </c>
      <c r="E8" s="46">
        <f>'Global Food Inflation'!S6/100</f>
        <v>5.7999999999999996E-3</v>
      </c>
      <c r="F8" s="47" cm="1">
        <f t="array" ref="F8">'Average monthly income per year'!$E$9:$E$9</f>
        <v>3.779446026404349E-2</v>
      </c>
      <c r="G8" s="47">
        <f t="shared" si="0"/>
        <v>3.4145845198032619E-2</v>
      </c>
      <c r="H8" s="47">
        <f>'Average monthly expenditure per'!G23/1+'Estimated expenditure growth'!G8</f>
        <v>2845.3341458451982</v>
      </c>
    </row>
    <row r="9" spans="1:8" ht="15.5" x14ac:dyDescent="0.35">
      <c r="B9" s="55">
        <v>2018</v>
      </c>
      <c r="C9" s="48" t="s">
        <v>58</v>
      </c>
      <c r="D9" s="49">
        <v>0.75</v>
      </c>
      <c r="E9" s="49">
        <f>'Global Food Inflation'!S7/100</f>
        <v>4.4000000000000003E-3</v>
      </c>
      <c r="F9" s="50" cm="1">
        <f t="array" ref="F9">'Average monthly income per year'!$F$9:$F$9</f>
        <v>9.1460879687370079E-3</v>
      </c>
      <c r="G9" s="50">
        <f t="shared" si="0"/>
        <v>1.1259565976552756E-2</v>
      </c>
      <c r="H9" s="50" t="s">
        <v>69</v>
      </c>
    </row>
    <row r="10" spans="1:8" ht="15.5" x14ac:dyDescent="0.35">
      <c r="B10" s="54">
        <v>2019</v>
      </c>
      <c r="C10" s="45" t="s">
        <v>59</v>
      </c>
      <c r="D10" s="46">
        <v>0.75</v>
      </c>
      <c r="E10" s="46">
        <f>'Global Food Inflation'!S8/100</f>
        <v>5.6999999999999993E-3</v>
      </c>
      <c r="F10" s="47" cm="1">
        <f t="array" ref="F10">'Average monthly income per year'!$G$9:$G$9</f>
        <v>2.0515778198895936E-2</v>
      </c>
      <c r="G10" s="47">
        <f t="shared" si="0"/>
        <v>2.1086833649171952E-2</v>
      </c>
      <c r="H10" s="47">
        <f>G10*'Average monthly expenditure per'!G23+'Average monthly expenditure per'!G23</f>
        <v>2905.2983677819893</v>
      </c>
    </row>
    <row r="11" spans="1:8" ht="15.5" x14ac:dyDescent="0.35">
      <c r="B11" s="55">
        <v>2020</v>
      </c>
      <c r="C11" s="48" t="s">
        <v>91</v>
      </c>
      <c r="D11" s="49">
        <v>0.3</v>
      </c>
      <c r="E11" s="49">
        <f>'Global Food Inflation'!S9/100</f>
        <v>-1.7000000000000001E-3</v>
      </c>
      <c r="F11" s="50" cm="1">
        <f t="array" ref="F11">'Average monthly income per year'!$H$9:$H$9</f>
        <v>-1.2191183594380752E-2</v>
      </c>
      <c r="G11" s="50">
        <f t="shared" si="0"/>
        <v>-5.357355078314226E-3</v>
      </c>
      <c r="H11" s="50">
        <f>'Average monthly expenditure per'!H23*'Estimated expenditure growth'!G11+'Average monthly expenditure per'!H23</f>
        <v>2889.7336528173346</v>
      </c>
    </row>
    <row r="12" spans="1:8" ht="15.5" x14ac:dyDescent="0.35">
      <c r="B12" s="54">
        <v>2021</v>
      </c>
      <c r="C12" s="45" t="s">
        <v>60</v>
      </c>
      <c r="D12" s="46">
        <v>0.4</v>
      </c>
      <c r="E12" s="46">
        <f>'Global Food Inflation'!S10/100</f>
        <v>2.3199999999999998E-2</v>
      </c>
      <c r="F12" s="47" cm="1">
        <f t="array" ref="F12">'Average monthly income per year'!$I$9:$I$9</f>
        <v>3.3510420923579896E-3</v>
      </c>
      <c r="G12" s="47">
        <f t="shared" si="0"/>
        <v>2.4540416836943194E-2</v>
      </c>
      <c r="H12" s="47">
        <f>'Average monthly expenditure per'!I23*'Estimated expenditure growth'!G12+'Average monthly expenditure per'!I23</f>
        <v>2960.6489212052143</v>
      </c>
    </row>
    <row r="13" spans="1:8" ht="15.5" x14ac:dyDescent="0.35">
      <c r="B13" s="55">
        <v>2022</v>
      </c>
      <c r="C13" s="48" t="s">
        <v>61</v>
      </c>
      <c r="D13" s="49">
        <v>0.6</v>
      </c>
      <c r="E13" s="49">
        <f>'Global Food Inflation'!S11/100</f>
        <v>6.13E-2</v>
      </c>
      <c r="F13" s="50" cm="1">
        <f t="array" ref="F13">'Average monthly income per year'!$J$9:$J$9</f>
        <v>6.9077875529488436E-2</v>
      </c>
      <c r="G13" s="50">
        <f t="shared" si="0"/>
        <v>0.10274672531769306</v>
      </c>
      <c r="H13" s="50">
        <f>'Average monthly expenditure per'!J23*'Estimated expenditure growth'!G13+'Average monthly expenditure per'!J23</f>
        <v>3264.8459026744108</v>
      </c>
    </row>
    <row r="14" spans="1:8" ht="15.5" x14ac:dyDescent="0.35">
      <c r="B14" s="54">
        <v>2023</v>
      </c>
      <c r="C14" s="45" t="s">
        <v>62</v>
      </c>
      <c r="D14" s="46">
        <v>0.65</v>
      </c>
      <c r="E14" s="46">
        <f>'Global Food Inflation'!S12/100</f>
        <v>4.8300000000000003E-2</v>
      </c>
      <c r="F14" s="47" cm="1">
        <f t="array" ref="F14">'Average monthly income per year'!$K$9:$K$9</f>
        <v>6.3547698872295028E-2</v>
      </c>
      <c r="G14" s="47">
        <f t="shared" si="0"/>
        <v>8.9606004266991779E-2</v>
      </c>
      <c r="H14" s="47" t="s">
        <v>69</v>
      </c>
    </row>
    <row r="15" spans="1:8" s="19" customFormat="1" ht="31" x14ac:dyDescent="0.35">
      <c r="B15" s="55">
        <v>2024</v>
      </c>
      <c r="C15" s="56" t="s">
        <v>63</v>
      </c>
      <c r="D15" s="57">
        <v>0.7</v>
      </c>
      <c r="E15" s="57">
        <f>'Global Food Inflation'!S13/100</f>
        <v>2.3900000000000001E-2</v>
      </c>
      <c r="F15" s="58" cm="1">
        <f t="array" ref="F15">'Average monthly income per year'!$L$9:$L$9</f>
        <v>4.1839805129674737E-2</v>
      </c>
      <c r="G15" s="58">
        <f t="shared" si="0"/>
        <v>5.3187863590772315E-2</v>
      </c>
      <c r="H15" s="58">
        <f>G15*'Average monthly expenditure per'!L23+'Average monthly expenditure per'!L23</f>
        <v>3341.0278596690073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5AA12-AF7C-4ABC-AFA2-D9BF2CBCA84D}">
  <dimension ref="A1:Q8"/>
  <sheetViews>
    <sheetView workbookViewId="0"/>
  </sheetViews>
  <sheetFormatPr defaultRowHeight="14.5" x14ac:dyDescent="0.35"/>
  <cols>
    <col min="1" max="1" width="14.453125" style="1" bestFit="1" customWidth="1"/>
    <col min="2" max="2" width="9.453125" style="1" customWidth="1"/>
    <col min="3" max="3" width="35.453125" style="1" bestFit="1" customWidth="1"/>
    <col min="4" max="13" width="6.90625" style="1" bestFit="1" customWidth="1"/>
    <col min="14" max="16384" width="8.7265625" style="1"/>
  </cols>
  <sheetData>
    <row r="1" spans="1:17" x14ac:dyDescent="0.35">
      <c r="A1" s="74"/>
    </row>
    <row r="2" spans="1:17" x14ac:dyDescent="0.35">
      <c r="B2" s="26" t="s">
        <v>92</v>
      </c>
    </row>
    <row r="3" spans="1:17" x14ac:dyDescent="0.35">
      <c r="B3" s="2" t="s">
        <v>70</v>
      </c>
      <c r="C3" s="3" t="s">
        <v>74</v>
      </c>
      <c r="D3" s="2" t="s">
        <v>18</v>
      </c>
      <c r="E3" s="2" t="s">
        <v>19</v>
      </c>
      <c r="F3" s="2" t="s">
        <v>20</v>
      </c>
      <c r="G3" s="2" t="s">
        <v>1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0</v>
      </c>
      <c r="M3" s="4" t="s">
        <v>25</v>
      </c>
      <c r="O3" s="1" t="s">
        <v>82</v>
      </c>
    </row>
    <row r="4" spans="1:17" x14ac:dyDescent="0.35">
      <c r="B4" s="5" t="s">
        <v>51</v>
      </c>
      <c r="C4" s="6" t="s">
        <v>2</v>
      </c>
      <c r="D4" s="7">
        <v>132.3211369556214</v>
      </c>
      <c r="E4" s="7">
        <v>134.90161168556241</v>
      </c>
      <c r="F4" s="7">
        <v>134.90161890644825</v>
      </c>
      <c r="G4" s="7">
        <v>134.9</v>
      </c>
      <c r="H4" s="7">
        <v>153.21893166785199</v>
      </c>
      <c r="I4" s="7">
        <v>152.39808344618734</v>
      </c>
      <c r="J4" s="7">
        <v>156.13799593910801</v>
      </c>
      <c r="K4" s="7">
        <v>172.18066371951863</v>
      </c>
      <c r="L4" s="7">
        <v>167.3</v>
      </c>
      <c r="M4" s="8">
        <v>176.19832957873624</v>
      </c>
      <c r="O4" s="73" t="s">
        <v>83</v>
      </c>
      <c r="P4" s="73"/>
      <c r="Q4" s="73"/>
    </row>
    <row r="5" spans="1:17" x14ac:dyDescent="0.35">
      <c r="B5" s="9" t="s">
        <v>51</v>
      </c>
      <c r="C5" s="10" t="s">
        <v>3</v>
      </c>
      <c r="D5" s="11">
        <v>25.601050218989762</v>
      </c>
      <c r="E5" s="11">
        <v>26.100311823522457</v>
      </c>
      <c r="F5" s="11">
        <v>26.100313220595254</v>
      </c>
      <c r="G5" s="11">
        <v>26.1</v>
      </c>
      <c r="H5" s="11">
        <v>19.232501882993969</v>
      </c>
      <c r="I5" s="11">
        <v>19.129466541362422</v>
      </c>
      <c r="J5" s="11">
        <v>19.598911624155814</v>
      </c>
      <c r="K5" s="11">
        <v>21.612635613328695</v>
      </c>
      <c r="L5" s="11">
        <v>21</v>
      </c>
      <c r="M5" s="12">
        <v>22.116945135406219</v>
      </c>
      <c r="O5" s="73"/>
      <c r="P5" s="73"/>
      <c r="Q5" s="73"/>
    </row>
    <row r="6" spans="1:17" x14ac:dyDescent="0.35">
      <c r="B6" s="5" t="s">
        <v>51</v>
      </c>
      <c r="C6" s="6" t="s">
        <v>12</v>
      </c>
      <c r="D6" s="13">
        <v>365.37897343194197</v>
      </c>
      <c r="E6" s="13">
        <v>372.5044503548703</v>
      </c>
      <c r="F6" s="13">
        <v>372.50447029393609</v>
      </c>
      <c r="G6" s="13">
        <v>372.5</v>
      </c>
      <c r="H6" s="13">
        <v>375.67487011448225</v>
      </c>
      <c r="I6" s="13">
        <v>373.66224644127942</v>
      </c>
      <c r="J6" s="13">
        <v>382.832073725177</v>
      </c>
      <c r="K6" s="13">
        <v>422.16681564702054</v>
      </c>
      <c r="L6" s="13">
        <v>410.2</v>
      </c>
      <c r="M6" s="14">
        <v>432.01766164493483</v>
      </c>
      <c r="O6" s="73"/>
      <c r="P6" s="73"/>
      <c r="Q6" s="73"/>
    </row>
    <row r="7" spans="1:17" ht="15" thickBot="1" x14ac:dyDescent="0.4">
      <c r="B7" s="9" t="s">
        <v>51</v>
      </c>
      <c r="C7" s="15" t="s">
        <v>80</v>
      </c>
      <c r="D7" s="16">
        <f>SUM(D4:D6)</f>
        <v>523.30116060655314</v>
      </c>
      <c r="E7" s="16">
        <f t="shared" ref="E7:M7" si="0">SUM(E4:E6)</f>
        <v>533.5063738639551</v>
      </c>
      <c r="F7" s="16">
        <f t="shared" si="0"/>
        <v>533.50640242097961</v>
      </c>
      <c r="G7" s="16">
        <f t="shared" si="0"/>
        <v>533.5</v>
      </c>
      <c r="H7" s="16">
        <f t="shared" si="0"/>
        <v>548.12630366532824</v>
      </c>
      <c r="I7" s="16">
        <f t="shared" si="0"/>
        <v>545.18979642882914</v>
      </c>
      <c r="J7" s="16">
        <f t="shared" si="0"/>
        <v>558.5689812884408</v>
      </c>
      <c r="K7" s="16">
        <f t="shared" si="0"/>
        <v>615.96011497986785</v>
      </c>
      <c r="L7" s="16">
        <f t="shared" si="0"/>
        <v>598.5</v>
      </c>
      <c r="M7" s="16">
        <f t="shared" si="0"/>
        <v>630.33293635907728</v>
      </c>
      <c r="O7" s="73"/>
      <c r="P7" s="73"/>
      <c r="Q7" s="73"/>
    </row>
    <row r="8" spans="1:17" ht="15" thickTop="1" x14ac:dyDescent="0.35">
      <c r="B8" s="5" t="s">
        <v>51</v>
      </c>
      <c r="C8" s="17" t="s">
        <v>81</v>
      </c>
      <c r="D8" s="18">
        <f>D6/D7</f>
        <v>0.69821930646672914</v>
      </c>
      <c r="E8" s="18">
        <f t="shared" ref="E8:M8" si="1">E6/E7</f>
        <v>0.69821930646672925</v>
      </c>
      <c r="F8" s="18">
        <f t="shared" si="1"/>
        <v>0.69821930646672914</v>
      </c>
      <c r="G8" s="18">
        <f t="shared" si="1"/>
        <v>0.69821930646672914</v>
      </c>
      <c r="H8" s="18">
        <f t="shared" si="1"/>
        <v>0.68538011695906431</v>
      </c>
      <c r="I8" s="18">
        <f t="shared" si="1"/>
        <v>0.68538011695906442</v>
      </c>
      <c r="J8" s="18">
        <f t="shared" si="1"/>
        <v>0.68538011695906442</v>
      </c>
      <c r="K8" s="18">
        <f t="shared" si="1"/>
        <v>0.68538011695906431</v>
      </c>
      <c r="L8" s="18">
        <f t="shared" si="1"/>
        <v>0.68538011695906431</v>
      </c>
      <c r="M8" s="18">
        <f t="shared" si="1"/>
        <v>0.68538011695906431</v>
      </c>
    </row>
  </sheetData>
  <mergeCells count="1">
    <mergeCell ref="O4:Q7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C5F0-D5AF-49FB-B6FE-515479B8DD71}">
  <dimension ref="A1:E12"/>
  <sheetViews>
    <sheetView workbookViewId="0"/>
  </sheetViews>
  <sheetFormatPr defaultRowHeight="14.5" x14ac:dyDescent="0.35"/>
  <cols>
    <col min="1" max="1" width="14.453125" style="1" bestFit="1" customWidth="1"/>
    <col min="2" max="2" width="12" style="1" bestFit="1" customWidth="1"/>
    <col min="3" max="3" width="22" style="1" bestFit="1" customWidth="1"/>
    <col min="4" max="4" width="9.08984375" style="1" bestFit="1" customWidth="1"/>
    <col min="5" max="5" width="26.08984375" style="1" bestFit="1" customWidth="1"/>
    <col min="6" max="16384" width="8.7265625" style="1"/>
  </cols>
  <sheetData>
    <row r="1" spans="1:5" x14ac:dyDescent="0.35">
      <c r="A1" s="74"/>
    </row>
    <row r="2" spans="1:5" x14ac:dyDescent="0.35">
      <c r="B2" s="21" t="s">
        <v>70</v>
      </c>
      <c r="C2" s="21" t="s">
        <v>75</v>
      </c>
      <c r="D2" s="21" t="s">
        <v>26</v>
      </c>
      <c r="E2" s="21" t="s">
        <v>76</v>
      </c>
    </row>
    <row r="3" spans="1:5" x14ac:dyDescent="0.35">
      <c r="B3" s="1" t="s">
        <v>51</v>
      </c>
      <c r="C3" s="1" t="s">
        <v>79</v>
      </c>
      <c r="D3" s="21">
        <v>2015</v>
      </c>
      <c r="E3" s="21" t="s">
        <v>77</v>
      </c>
    </row>
    <row r="4" spans="1:5" x14ac:dyDescent="0.35">
      <c r="B4" s="1" t="s">
        <v>51</v>
      </c>
      <c r="C4" s="1" t="s">
        <v>79</v>
      </c>
      <c r="D4" s="21">
        <v>2016</v>
      </c>
      <c r="E4" s="21" t="s">
        <v>77</v>
      </c>
    </row>
    <row r="5" spans="1:5" x14ac:dyDescent="0.35">
      <c r="B5" s="1" t="s">
        <v>51</v>
      </c>
      <c r="C5" s="1" t="s">
        <v>79</v>
      </c>
      <c r="D5" s="21">
        <v>2017</v>
      </c>
      <c r="E5" s="21" t="s">
        <v>77</v>
      </c>
    </row>
    <row r="6" spans="1:5" x14ac:dyDescent="0.35">
      <c r="B6" s="1" t="s">
        <v>51</v>
      </c>
      <c r="C6" s="1" t="s">
        <v>79</v>
      </c>
      <c r="D6" s="21">
        <v>2018</v>
      </c>
      <c r="E6" s="21" t="s">
        <v>78</v>
      </c>
    </row>
    <row r="7" spans="1:5" x14ac:dyDescent="0.35">
      <c r="B7" s="1" t="s">
        <v>51</v>
      </c>
      <c r="C7" s="1" t="s">
        <v>79</v>
      </c>
      <c r="D7" s="21">
        <v>2019</v>
      </c>
      <c r="E7" s="21" t="s">
        <v>77</v>
      </c>
    </row>
    <row r="8" spans="1:5" x14ac:dyDescent="0.35">
      <c r="B8" s="1" t="s">
        <v>51</v>
      </c>
      <c r="C8" s="1" t="s">
        <v>79</v>
      </c>
      <c r="D8" s="21">
        <v>2020</v>
      </c>
      <c r="E8" s="21" t="s">
        <v>77</v>
      </c>
    </row>
    <row r="9" spans="1:5" x14ac:dyDescent="0.35">
      <c r="B9" s="1" t="s">
        <v>51</v>
      </c>
      <c r="C9" s="1" t="s">
        <v>79</v>
      </c>
      <c r="D9" s="21">
        <v>2021</v>
      </c>
      <c r="E9" s="21" t="s">
        <v>77</v>
      </c>
    </row>
    <row r="10" spans="1:5" x14ac:dyDescent="0.35">
      <c r="B10" s="1" t="s">
        <v>51</v>
      </c>
      <c r="C10" s="1" t="s">
        <v>79</v>
      </c>
      <c r="D10" s="21">
        <v>2022</v>
      </c>
      <c r="E10" s="21" t="s">
        <v>77</v>
      </c>
    </row>
    <row r="11" spans="1:5" x14ac:dyDescent="0.35">
      <c r="B11" s="1" t="s">
        <v>51</v>
      </c>
      <c r="C11" s="1" t="s">
        <v>79</v>
      </c>
      <c r="D11" s="21">
        <v>2023</v>
      </c>
      <c r="E11" s="21" t="s">
        <v>78</v>
      </c>
    </row>
    <row r="12" spans="1:5" x14ac:dyDescent="0.35">
      <c r="B12" s="1" t="s">
        <v>51</v>
      </c>
      <c r="C12" s="1" t="s">
        <v>79</v>
      </c>
      <c r="D12" s="21">
        <v>2024</v>
      </c>
      <c r="E12" s="21" t="s">
        <v>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1816BB-9EBC-4E8D-996F-FEF33ECAD9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Average monthly expenditure per</vt:lpstr>
      <vt:lpstr>Food at home and out</vt:lpstr>
      <vt:lpstr>Income Growth</vt:lpstr>
      <vt:lpstr>Average monthly income per year</vt:lpstr>
      <vt:lpstr>Global Food Inflation</vt:lpstr>
      <vt:lpstr>Estimated expenditure growth</vt:lpstr>
      <vt:lpstr>Dining Out Percentage</vt:lpstr>
      <vt:lpstr>Data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Afiq Roslan</dc:creator>
  <cp:lastModifiedBy>Afiq Roslan</cp:lastModifiedBy>
  <dcterms:created xsi:type="dcterms:W3CDTF">2026-01-12T05:06:01Z</dcterms:created>
  <dcterms:modified xsi:type="dcterms:W3CDTF">2026-02-14T04:40:00Z</dcterms:modified>
</cp:coreProperties>
</file>